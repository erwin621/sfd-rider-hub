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" sheetId="1" r:id="rId5"/>
    <sheet state="visible" name="UsersDB" sheetId="2" r:id="rId6"/>
    <sheet state="visible" name="MAIN" sheetId="3" r:id="rId7"/>
    <sheet state="visible" name="Master" sheetId="4" r:id="rId8"/>
    <sheet state="visible" name="MANILA" sheetId="5" r:id="rId9"/>
    <sheet state="visible" name="CALOOCAN" sheetId="6" r:id="rId10"/>
    <sheet state="visible" name="QUEZON CITY" sheetId="7" r:id="rId11"/>
    <sheet state="visible" name="NAVOTAS" sheetId="8" r:id="rId12"/>
    <sheet state="visible" name="VALENZUELA" sheetId="9" r:id="rId13"/>
    <sheet state="visible" name="MALABON" sheetId="10" r:id="rId14"/>
    <sheet state="visible" name="Marikina" sheetId="11" r:id="rId15"/>
    <sheet state="visible" name="MAKATI" sheetId="12" r:id="rId16"/>
    <sheet state="visible" name="SAN JUAN" sheetId="13" r:id="rId17"/>
    <sheet state="visible" name="PASIG" sheetId="14" r:id="rId18"/>
    <sheet state="visible" name="MANDALUYONG" sheetId="15" r:id="rId19"/>
    <sheet state="visible" name="Pasay" sheetId="16" r:id="rId20"/>
    <sheet state="visible" name="Paranaque" sheetId="17" r:id="rId21"/>
    <sheet state="visible" name="LAS PINAS" sheetId="18" r:id="rId22"/>
    <sheet state="visible" name="MUNTINLUPA" sheetId="19" r:id="rId23"/>
    <sheet state="visible" name="TAGUIG" sheetId="20" r:id="rId24"/>
    <sheet state="visible" name="NEW" sheetId="21" r:id="rId25"/>
    <sheet state="visible" name="Tugon" sheetId="22" r:id="rId26"/>
    <sheet state="visible" name="RAWDATA" sheetId="23" r:id="rId27"/>
  </sheets>
  <definedNames/>
  <calcPr/>
</workbook>
</file>

<file path=xl/sharedStrings.xml><?xml version="1.0" encoding="utf-8"?>
<sst xmlns="http://schemas.openxmlformats.org/spreadsheetml/2006/main" count="1715" uniqueCount="674">
  <si>
    <t>Visited by</t>
  </si>
  <si>
    <t>Date Visit</t>
  </si>
  <si>
    <t>Code</t>
  </si>
  <si>
    <t>Site name</t>
  </si>
  <si>
    <t>Locality</t>
  </si>
  <si>
    <t>COORDINATES</t>
  </si>
  <si>
    <t>Power Check</t>
  </si>
  <si>
    <t>Connectivity Check</t>
  </si>
  <si>
    <t>Hardware Check</t>
  </si>
  <si>
    <t>Cables Check</t>
  </si>
  <si>
    <t>Remarks</t>
  </si>
  <si>
    <t>EBANOG</t>
  </si>
  <si>
    <t>L4-003-04D4A</t>
  </si>
  <si>
    <t>M. B. Asistio Sr. High School Unit</t>
  </si>
  <si>
    <t>Caloocan City</t>
  </si>
  <si>
    <t>14.650111, 120.965174</t>
  </si>
  <si>
    <t>Yes</t>
  </si>
  <si>
    <t>No</t>
  </si>
  <si>
    <t>Blinking LOS</t>
  </si>
  <si>
    <t>L4-003-04A0B</t>
  </si>
  <si>
    <t>Kasarinlan High School</t>
  </si>
  <si>
    <t>L4-003-05F88</t>
  </si>
  <si>
    <t>Barangay 12 Health Center</t>
  </si>
  <si>
    <t>14.6517266, 120.9640138</t>
  </si>
  <si>
    <t>L4-003-04D56</t>
  </si>
  <si>
    <t>Manuel L. Quezon High School</t>
  </si>
  <si>
    <t>14.769255, 121.077191</t>
  </si>
  <si>
    <t>Online no splash page</t>
  </si>
  <si>
    <t>L4-003-04D5C</t>
  </si>
  <si>
    <t>Sampaguita High School</t>
  </si>
  <si>
    <t>L4-003-05893</t>
  </si>
  <si>
    <t>University of Caloocan City - Camarin Business Campus</t>
  </si>
  <si>
    <t>14.761965, 121.050172</t>
  </si>
  <si>
    <t>Reset modem</t>
  </si>
  <si>
    <t>L4-003-04D5D</t>
  </si>
  <si>
    <t>Bagumbong High School</t>
  </si>
  <si>
    <t>14.7476037, 121.0275501</t>
  </si>
  <si>
    <t>L4-003-04D51</t>
  </si>
  <si>
    <t>Caybiga High School</t>
  </si>
  <si>
    <t>14.724718, 121.005159</t>
  </si>
  <si>
    <t>L4-003-04D52</t>
  </si>
  <si>
    <t>Baesa High School</t>
  </si>
  <si>
    <t>L4-003-063CE</t>
  </si>
  <si>
    <t>Barangay 14 Health Center</t>
  </si>
  <si>
    <t>14.6485132, 120.9647162</t>
  </si>
  <si>
    <t>Defective modem and AP</t>
  </si>
  <si>
    <t>L4-003-05F92</t>
  </si>
  <si>
    <t>Sampalukan Health Center</t>
  </si>
  <si>
    <t>14.643506, 120.973190</t>
  </si>
  <si>
    <t>Reset Modem</t>
  </si>
  <si>
    <t>L4-003-0079C</t>
  </si>
  <si>
    <t>Tandang Sora Integrated School</t>
  </si>
  <si>
    <t>POGI</t>
  </si>
  <si>
    <t>L4-003-04929</t>
  </si>
  <si>
    <t>Kalayaan National High School</t>
  </si>
  <si>
    <t>L4-003-04D59</t>
  </si>
  <si>
    <t>Amparo High School</t>
  </si>
  <si>
    <t>L4-003-0078B</t>
  </si>
  <si>
    <t>San Jose Elementary School - Annex</t>
  </si>
  <si>
    <t>14.639301, 120.989119</t>
  </si>
  <si>
    <t>Reset modem (Oneaccess)</t>
  </si>
  <si>
    <t>L4-003-007D8</t>
  </si>
  <si>
    <t>Sta. Quiteria Elementary School</t>
  </si>
  <si>
    <t>14.680657, 121.009711</t>
  </si>
  <si>
    <t>L4-003-04D4F</t>
  </si>
  <si>
    <t>Llano High School</t>
  </si>
  <si>
    <t>14.732024, 121.010752</t>
  </si>
  <si>
    <t>Blinking LOS/SSID present (2)/Lan 2 With activity</t>
  </si>
  <si>
    <t>L4-003-04A10</t>
  </si>
  <si>
    <t>CHS - Cielito Zamora - Annex 2</t>
  </si>
  <si>
    <t>14.746583, 121.050172</t>
  </si>
  <si>
    <t>L4-003-0017F</t>
  </si>
  <si>
    <t xml:space="preserve">Pres. Diosdado Macapagal Memorial Medical Center </t>
  </si>
  <si>
    <t>14.647097, 120.972037</t>
  </si>
  <si>
    <t>Defective commbox breaker</t>
  </si>
  <si>
    <t>L4-011-0006B</t>
  </si>
  <si>
    <t>Land Registration Authority</t>
  </si>
  <si>
    <t>IGOV</t>
  </si>
  <si>
    <t>L4-011-0665B</t>
  </si>
  <si>
    <t>Bureau of Fire Protection</t>
  </si>
  <si>
    <t>L4-011-00006</t>
  </si>
  <si>
    <t>Office of the Ombudsman</t>
  </si>
  <si>
    <t>L4-011-0008B</t>
  </si>
  <si>
    <t>Bureau of Jail Management and Penology</t>
  </si>
  <si>
    <t>L4-011-00052</t>
  </si>
  <si>
    <t>National Power Corporation</t>
  </si>
  <si>
    <t>L4-011-00047</t>
  </si>
  <si>
    <t>Philippine Atmospheric, Geophysical and Astronomical Services Administration</t>
  </si>
  <si>
    <t>AZIMUTH_ADMIN</t>
  </si>
  <si>
    <t>L4-022-00009</t>
  </si>
  <si>
    <t>Department of Science and Technology</t>
  </si>
  <si>
    <t>L4-005-00016</t>
  </si>
  <si>
    <t>Bureau of the Treasury</t>
  </si>
  <si>
    <t>14.744307, 120.972969</t>
  </si>
  <si>
    <t>No internet</t>
  </si>
  <si>
    <t>L4-008-00010</t>
  </si>
  <si>
    <t xml:space="preserve">Board of Investments	</t>
  </si>
  <si>
    <t>14.74449260, 120.97239530</t>
  </si>
  <si>
    <t>ADMIN</t>
  </si>
  <si>
    <t>L4-005-0008F</t>
  </si>
  <si>
    <t>Bureau of Customs</t>
  </si>
  <si>
    <t>L4-005-00045</t>
  </si>
  <si>
    <t xml:space="preserve">Philippine Coast Guard	</t>
  </si>
  <si>
    <t>L4-005-0006E</t>
  </si>
  <si>
    <t xml:space="preserve">Insurance Commission	</t>
  </si>
  <si>
    <t>14.744316, 120.972915</t>
  </si>
  <si>
    <t>L4-004-0068C</t>
  </si>
  <si>
    <t>Almanza Elementary School - T. S. Cruz Annex</t>
  </si>
  <si>
    <t>Las Piñas City</t>
  </si>
  <si>
    <t>14.4187517, 121.0177683</t>
  </si>
  <si>
    <t>L4-004-049F2</t>
  </si>
  <si>
    <t>Las Piñas East National High School - Equitable Annex</t>
  </si>
  <si>
    <t>14.4330711, 121.0018142</t>
  </si>
  <si>
    <t>L4-004-0069E</t>
  </si>
  <si>
    <t>CAA Elementary School - Annex</t>
  </si>
  <si>
    <t>L4-004-0069B</t>
  </si>
  <si>
    <t>Pamplona Elementary School - Central</t>
  </si>
  <si>
    <t>14.458122, 120.970192</t>
  </si>
  <si>
    <t>L4-004-05E9A</t>
  </si>
  <si>
    <t>Pulanglupa Uno Health Center</t>
  </si>
  <si>
    <t>L4-004-04D24</t>
  </si>
  <si>
    <t>Las Piñas National High School</t>
  </si>
  <si>
    <t>14.482470, 120.981228</t>
  </si>
  <si>
    <t>L4-004-05E91</t>
  </si>
  <si>
    <t>Manuyo Uno Health Center</t>
  </si>
  <si>
    <t>site is under construction</t>
  </si>
  <si>
    <t>L4-004-049EE</t>
  </si>
  <si>
    <t>T. S. Cruz High School</t>
  </si>
  <si>
    <t>L4-008-006E7</t>
  </si>
  <si>
    <t>Hen. Pio del Pilar Elementary School - Main</t>
  </si>
  <si>
    <t>Makati City</t>
  </si>
  <si>
    <t>L4-008-049FA</t>
  </si>
  <si>
    <t>Bangkal High School</t>
  </si>
  <si>
    <t>L4-008-04D3B</t>
  </si>
  <si>
    <t>San Isidro National High School</t>
  </si>
  <si>
    <t>L4-008-0003F</t>
  </si>
  <si>
    <t>Philippine Marines</t>
  </si>
  <si>
    <t>L4-007-05F9E</t>
  </si>
  <si>
    <t>Hulong Duhat Health Center</t>
  </si>
  <si>
    <t>Malabon City</t>
  </si>
  <si>
    <t>L4-007-05875</t>
  </si>
  <si>
    <t>City of Malabon University</t>
  </si>
  <si>
    <t>14.6540178, 120.9601261</t>
  </si>
  <si>
    <t>L4-007-05FA8</t>
  </si>
  <si>
    <t>Tañong Health Center</t>
  </si>
  <si>
    <t>L4-007-007AF</t>
  </si>
  <si>
    <t>Epifanio de los Santos Elementary School</t>
  </si>
  <si>
    <t>L4-007-049E1</t>
  </si>
  <si>
    <t>Col. Ramon Camus Integrated School</t>
  </si>
  <si>
    <t>14.6616620, 120.9495790</t>
  </si>
  <si>
    <t>L4-007-049E0</t>
  </si>
  <si>
    <t>Tañong Integrated School</t>
  </si>
  <si>
    <t>14.658627, 120.953033</t>
  </si>
  <si>
    <t>Replaced AP</t>
  </si>
  <si>
    <t>L4-007-007AE</t>
  </si>
  <si>
    <t>L4-007-007B9</t>
  </si>
  <si>
    <t>Catmon Integrated School</t>
  </si>
  <si>
    <t>L4-007-05F95</t>
  </si>
  <si>
    <t>Acacia Health Center</t>
  </si>
  <si>
    <t>L4-007-007A7</t>
  </si>
  <si>
    <t>Ninoy Aquino Elementary School</t>
  </si>
  <si>
    <t>14.653852, 120.959743</t>
  </si>
  <si>
    <t>NEW AP INSTALLED</t>
  </si>
  <si>
    <t>L4-007-049E2</t>
  </si>
  <si>
    <t>14.665069, 120.962041</t>
  </si>
  <si>
    <t>L4-007-007CF</t>
  </si>
  <si>
    <t>Maysilo Elementary School</t>
  </si>
  <si>
    <t>14.677287, 120.960707</t>
  </si>
  <si>
    <t>Reset modem &amp; AP</t>
  </si>
  <si>
    <t>L4-007-05FAA</t>
  </si>
  <si>
    <t>Tonsuya Health Center</t>
  </si>
  <si>
    <t>14.660539, 120.959846</t>
  </si>
  <si>
    <t>L4-002-063A5</t>
  </si>
  <si>
    <t>Poblacion Health Center</t>
  </si>
  <si>
    <t>Mandaluyong City</t>
  </si>
  <si>
    <t>Location Access Denied</t>
  </si>
  <si>
    <t>L4-005-05E54</t>
  </si>
  <si>
    <t>D. Belmonte Health Center</t>
  </si>
  <si>
    <t>Manila City</t>
  </si>
  <si>
    <t>L4-005-00711</t>
  </si>
  <si>
    <t>Aurora A. Quezon Elementary School</t>
  </si>
  <si>
    <t>L4-005-04D9A</t>
  </si>
  <si>
    <t>Carlos P. Garcia High School</t>
  </si>
  <si>
    <t>L4-005-00751</t>
  </si>
  <si>
    <t>Gen. L. Geronimo Elementary School</t>
  </si>
  <si>
    <t>14.6055692, 120.9975908</t>
  </si>
  <si>
    <t>L4-005-04D98</t>
  </si>
  <si>
    <t>Manila Science High School</t>
  </si>
  <si>
    <t>14.581515, 120.982434</t>
  </si>
  <si>
    <t>AP no SSID broadcast / re-crimped cable to AP</t>
  </si>
  <si>
    <t>L4-005-0071D</t>
  </si>
  <si>
    <t>Fernando Ma. Guerrero Elementary School</t>
  </si>
  <si>
    <t>L4-005-00725</t>
  </si>
  <si>
    <t>Justo Lukban Elementary School</t>
  </si>
  <si>
    <t>14.5813587, 120.9929970</t>
  </si>
  <si>
    <t>L4-005-0070A</t>
  </si>
  <si>
    <t>Rafael Palma Elementary School</t>
  </si>
  <si>
    <t>14.5676040, 121.0054520</t>
  </si>
  <si>
    <t>L4-005-04D99</t>
  </si>
  <si>
    <t>Manila High School</t>
  </si>
  <si>
    <t>L4-005-05E5A</t>
  </si>
  <si>
    <t>M. Earnshaw Health Center</t>
  </si>
  <si>
    <t>L4-005-04DA7</t>
  </si>
  <si>
    <t>L4-009-06658</t>
  </si>
  <si>
    <t>Deparment of Social Welfare and Development - Manila City</t>
  </si>
  <si>
    <t>L4-005-04DA3</t>
  </si>
  <si>
    <t>Ramon Q. Avancena High School</t>
  </si>
  <si>
    <t>14.593998, 120.989962</t>
  </si>
  <si>
    <t>Power supply issue - restored</t>
  </si>
  <si>
    <t>L4-005-04D9F</t>
  </si>
  <si>
    <t>Antonio Maceda Integrated School</t>
  </si>
  <si>
    <t>14.603277, 121.012022</t>
  </si>
  <si>
    <t>Power supply issue</t>
  </si>
  <si>
    <t>L4-005-04D94</t>
  </si>
  <si>
    <t>Mariano Marcos Memorial High School</t>
  </si>
  <si>
    <t>14.583122, 121.006810</t>
  </si>
  <si>
    <t>L4-005-04DA8</t>
  </si>
  <si>
    <t>Pres. Sergio Osmena, Sr. High School</t>
  </si>
  <si>
    <t>L4-006-04D3E</t>
  </si>
  <si>
    <t>Parang High School</t>
  </si>
  <si>
    <t>Marikina City</t>
  </si>
  <si>
    <t>L4-006-0076F</t>
  </si>
  <si>
    <t>Kalumpang Elementary School</t>
  </si>
  <si>
    <t>L4-006-00785</t>
  </si>
  <si>
    <t>Leodegario Victorino Elementary School</t>
  </si>
  <si>
    <t>L4-006-0079E</t>
  </si>
  <si>
    <t>Malanday Elementary School</t>
  </si>
  <si>
    <t>L4-006-049FD</t>
  </si>
  <si>
    <t>Kalumpang National High School</t>
  </si>
  <si>
    <t>L4-006-00789</t>
  </si>
  <si>
    <t>Sto. Nino Elementary School</t>
  </si>
  <si>
    <t>L4-004-06651</t>
  </si>
  <si>
    <t>Marikina City Hall</t>
  </si>
  <si>
    <t>L4-006-05F19</t>
  </si>
  <si>
    <t>Santa Elena Health Center</t>
  </si>
  <si>
    <t>L4-006-05F14</t>
  </si>
  <si>
    <t>Nangka Health Center</t>
  </si>
  <si>
    <t>L4-006-05F10</t>
  </si>
  <si>
    <t>Jesus dela Peña Health Center</t>
  </si>
  <si>
    <t>L4-006-04D41</t>
  </si>
  <si>
    <t>Marikina Science High School</t>
  </si>
  <si>
    <t>L4-006-05F1B</t>
  </si>
  <si>
    <t>L4-012-05FC4</t>
  </si>
  <si>
    <t>SSS Village Elementary School</t>
  </si>
  <si>
    <t>L4-006-05F0C</t>
  </si>
  <si>
    <t>Balubad Health Center</t>
  </si>
  <si>
    <t>L4-00B-04CFC</t>
  </si>
  <si>
    <t>Muntinlupa Business High School - Main</t>
  </si>
  <si>
    <t>Muntinlupa City</t>
  </si>
  <si>
    <t>14.4416356, 121.0498946</t>
  </si>
  <si>
    <t>L4-00B-00686</t>
  </si>
  <si>
    <t>Soldiers' Hills Elementary School</t>
  </si>
  <si>
    <t>14.400877, 121.036763</t>
  </si>
  <si>
    <t>(AP DEFECTIVE)
Blinking LOS</t>
  </si>
  <si>
    <t>L4-004-08323</t>
  </si>
  <si>
    <t>Muntinlupa City Hall</t>
  </si>
  <si>
    <t>L4-00B-04CFF</t>
  </si>
  <si>
    <t>Muntinlupa National High School</t>
  </si>
  <si>
    <t>14.388728, 121.027980</t>
  </si>
  <si>
    <t>L4-00B-049DA</t>
  </si>
  <si>
    <t>Muntinlupa National High School - NBP Annex</t>
  </si>
  <si>
    <t>14.3692587, 121.0205602</t>
  </si>
  <si>
    <t>L4-00B-0068D</t>
  </si>
  <si>
    <t>Alabang Elementary School - Main</t>
  </si>
  <si>
    <t>L4-00A-04D0D</t>
  </si>
  <si>
    <t>Navotas National High School</t>
  </si>
  <si>
    <t>Navotas City</t>
  </si>
  <si>
    <t>L4-00A-00788</t>
  </si>
  <si>
    <t>San Rafael Village Elementary School</t>
  </si>
  <si>
    <t>L4-004-08322</t>
  </si>
  <si>
    <t>Navotas City Hall</t>
  </si>
  <si>
    <t>14.6579683, 120.9477150</t>
  </si>
  <si>
    <t>L4-00A-05FB5</t>
  </si>
  <si>
    <t>Tangos Health Center</t>
  </si>
  <si>
    <t>14.673515, 120.932967</t>
  </si>
  <si>
    <t>Defective one access modem</t>
  </si>
  <si>
    <t>L4-00A-007C9</t>
  </si>
  <si>
    <t>Tangos Elementary School</t>
  </si>
  <si>
    <t>L4-00A-05FAE</t>
  </si>
  <si>
    <t>Kaunlaran Village Health Centery</t>
  </si>
  <si>
    <t>14.6466353, 120.9548767</t>
  </si>
  <si>
    <t>L4-00A-007A2</t>
  </si>
  <si>
    <t>Dagat-dagatan Elementary School</t>
  </si>
  <si>
    <t>L4-00A-04D0C</t>
  </si>
  <si>
    <t>San Rafael Technological High School</t>
  </si>
  <si>
    <t>L4-00A-007A5</t>
  </si>
  <si>
    <t>Bagumbayan Elementary School</t>
  </si>
  <si>
    <t>14.661638, 120.950164</t>
  </si>
  <si>
    <t>No modem</t>
  </si>
  <si>
    <t>L4-011-00069</t>
  </si>
  <si>
    <t>Bagumbayan Elementary School-School Stage</t>
  </si>
  <si>
    <t>L4-013-006BE</t>
  </si>
  <si>
    <t>Don Galo Elementary School</t>
  </si>
  <si>
    <t>Parañaque City</t>
  </si>
  <si>
    <t>L4-013-006C7</t>
  </si>
  <si>
    <t>Tambo Elementary School</t>
  </si>
  <si>
    <t>L4-013-006BC</t>
  </si>
  <si>
    <t>Sto. Niño Elementary School</t>
  </si>
  <si>
    <t>L4-013-05EC0</t>
  </si>
  <si>
    <t>BF Homes Health Center</t>
  </si>
  <si>
    <t>14.450740, 121.019693</t>
  </si>
  <si>
    <t>Site is under construction/renovation</t>
  </si>
  <si>
    <t>L4-013-006B4</t>
  </si>
  <si>
    <t>Sun Valley Elementary School</t>
  </si>
  <si>
    <t>14.489584, 121.029290</t>
  </si>
  <si>
    <t>L4-015-05ED2</t>
  </si>
  <si>
    <t>Dona Marta Health Center</t>
  </si>
  <si>
    <t>Pasay City</t>
  </si>
  <si>
    <t>14.536152, 121.001873</t>
  </si>
  <si>
    <t>Blinking LoS</t>
  </si>
  <si>
    <t>L4-022-0644C</t>
  </si>
  <si>
    <t>Philippine Economic Zone Authority</t>
  </si>
  <si>
    <t>14.5349476, 120.9897264</t>
  </si>
  <si>
    <t>Reset modem (OneAccess)</t>
  </si>
  <si>
    <t>L4-015-00030</t>
  </si>
  <si>
    <t>Senate of the Philippines</t>
  </si>
  <si>
    <t>L4-015-00170</t>
  </si>
  <si>
    <t>Pasay City General Hospital</t>
  </si>
  <si>
    <t>L4-015-0004B</t>
  </si>
  <si>
    <t>Overseas Workers Welfare Administration (NO AP INSTALLED)</t>
  </si>
  <si>
    <t>L4-009-00731</t>
  </si>
  <si>
    <t>De Castro Elementary School</t>
  </si>
  <si>
    <t>Pasig City</t>
  </si>
  <si>
    <t>L4-009-0070B</t>
  </si>
  <si>
    <t>Pineda Elementary School</t>
  </si>
  <si>
    <t>Defective AP</t>
  </si>
  <si>
    <t>L4-009-05F1E</t>
  </si>
  <si>
    <t>Bagong Katipunan</t>
  </si>
  <si>
    <t>L4-009-00189</t>
  </si>
  <si>
    <t>Rizal Medical Center</t>
  </si>
  <si>
    <t>L4-009-05F38</t>
  </si>
  <si>
    <t>Sagad Health Center</t>
  </si>
  <si>
    <t>L4-009-00704</t>
  </si>
  <si>
    <t>Liberato Damian Elementary School</t>
  </si>
  <si>
    <t>L4-009-05F30</t>
  </si>
  <si>
    <t>Oranbo Health Center</t>
  </si>
  <si>
    <t>L4-009-0071E</t>
  </si>
  <si>
    <t>Maybunga Elementary School</t>
  </si>
  <si>
    <t>L4-009-04D2E</t>
  </si>
  <si>
    <t>Sta. Lucia High School</t>
  </si>
  <si>
    <t>L4-009-00707</t>
  </si>
  <si>
    <t>Palatiw Elementary School</t>
  </si>
  <si>
    <t>L4-009-05F27</t>
  </si>
  <si>
    <t>Kapasigan Health Center</t>
  </si>
  <si>
    <t>L4-011-04D79</t>
  </si>
  <si>
    <t>New Era High School</t>
  </si>
  <si>
    <t>Quezon City</t>
  </si>
  <si>
    <t>L4-011-05F7F</t>
  </si>
  <si>
    <t>Toro Hills Health Center</t>
  </si>
  <si>
    <t>L4-008-05EA2</t>
  </si>
  <si>
    <t>Apolonio Samson National High School</t>
  </si>
  <si>
    <t>L4-011-04D88</t>
  </si>
  <si>
    <t>Pugad Lawin High School</t>
  </si>
  <si>
    <t>L4-011-0063E</t>
  </si>
  <si>
    <t>San Francisco Elementary School</t>
  </si>
  <si>
    <t>L4-011-00641</t>
  </si>
  <si>
    <t>Bayanihan Elementary School</t>
  </si>
  <si>
    <t>L4-011-04D8C</t>
  </si>
  <si>
    <t>Sergio Osmena Sr. High School</t>
  </si>
  <si>
    <t>L4-011-00631</t>
  </si>
  <si>
    <t>NOH - School for Crippled Children</t>
  </si>
  <si>
    <t>L4-011-00643</t>
  </si>
  <si>
    <t>San Jose Elementary School - Pag-Ibig sa Nayon Annex</t>
  </si>
  <si>
    <t>14.646638, 120.996447</t>
  </si>
  <si>
    <t>Replaced defective AP</t>
  </si>
  <si>
    <t>L4-013-00007</t>
  </si>
  <si>
    <t>National Commission on Muslim Filipinos</t>
  </si>
  <si>
    <t>L4-011-00642</t>
  </si>
  <si>
    <t>Krus na Ligas Elementary SchooL</t>
  </si>
  <si>
    <t>L4-011-04D73</t>
  </si>
  <si>
    <t>Don Quintin Paredes High School</t>
  </si>
  <si>
    <t>L4-011-05F51</t>
  </si>
  <si>
    <t>Escopa Health Center</t>
  </si>
  <si>
    <t>L4-011-00638</t>
  </si>
  <si>
    <t>Batino Elementary School - SPED Center</t>
  </si>
  <si>
    <t>L4-011-00623</t>
  </si>
  <si>
    <t>Camarilla Elementary School</t>
  </si>
  <si>
    <t>L4-011-05F58</t>
  </si>
  <si>
    <t>Holy Spirit Health Center</t>
  </si>
  <si>
    <t>L4-011-00636</t>
  </si>
  <si>
    <t>Project 3 Elementary School</t>
  </si>
  <si>
    <t>L4-011-00662</t>
  </si>
  <si>
    <t>Commonwealth Elementary School</t>
  </si>
  <si>
    <t>New AP installed</t>
  </si>
  <si>
    <t>L4-011-0063B</t>
  </si>
  <si>
    <t>Pinyahan Elementary School</t>
  </si>
  <si>
    <t>L4-011-00653</t>
  </si>
  <si>
    <t>Old Balara Elementary School</t>
  </si>
  <si>
    <t>14.672827, 121.076326</t>
  </si>
  <si>
    <t>Comm box power is disconnected</t>
  </si>
  <si>
    <t>L4-011-04D6C</t>
  </si>
  <si>
    <t>Camp Crame High School</t>
  </si>
  <si>
    <t>L4-005-05E6D</t>
  </si>
  <si>
    <t>Unang Sigaw Barangay Hall</t>
  </si>
  <si>
    <t>14.658687, 120.999288</t>
  </si>
  <si>
    <t>Reset modem/Replace cable to AP</t>
  </si>
  <si>
    <t>L4-011-04A15</t>
  </si>
  <si>
    <t>Dona Rosario High School</t>
  </si>
  <si>
    <t>L4-011-04D69</t>
  </si>
  <si>
    <t>Don Alejandro Roces Sr. Science and Technology High SchooL</t>
  </si>
  <si>
    <t>L4-011-05F61</t>
  </si>
  <si>
    <t>Masambong Health Center</t>
  </si>
  <si>
    <t>L4-011-04D8D</t>
  </si>
  <si>
    <t>San Jose High School</t>
  </si>
  <si>
    <t>L4-011-04D72</t>
  </si>
  <si>
    <t>Quirino High School</t>
  </si>
  <si>
    <t>L4-011-0008E</t>
  </si>
  <si>
    <t>Bureau of Fisheries and Aquatic Resources</t>
  </si>
  <si>
    <t>L4-011-04D71</t>
  </si>
  <si>
    <t>Juan Sumulong High School</t>
  </si>
  <si>
    <t>L4-011-05F5F</t>
  </si>
  <si>
    <t>M.H. Pedro Health Center</t>
  </si>
  <si>
    <t>L4-011-04D81</t>
  </si>
  <si>
    <t>Ismael Mathay Sr. High School</t>
  </si>
  <si>
    <t>L4-011-05F4D</t>
  </si>
  <si>
    <t>Cubao Health Center</t>
  </si>
  <si>
    <t>L4-011-05F49</t>
  </si>
  <si>
    <t>Bernardo Health Center</t>
  </si>
  <si>
    <t>L4-011-0062C</t>
  </si>
  <si>
    <t>Cubao Elementary School</t>
  </si>
  <si>
    <t>L4-011-00621</t>
  </si>
  <si>
    <t>Pedro Tuason Elementary School</t>
  </si>
  <si>
    <t>L4-011-0000A</t>
  </si>
  <si>
    <t>Mines and Geosciences Bureau</t>
  </si>
  <si>
    <t>L4-011-05978</t>
  </si>
  <si>
    <t>Pinaglabanan ShrineSan</t>
  </si>
  <si>
    <t>San Juan City</t>
  </si>
  <si>
    <t>14.6055030, 121.0313658</t>
  </si>
  <si>
    <t>L4-014-063BD</t>
  </si>
  <si>
    <t>Progreso Barangay Hall</t>
  </si>
  <si>
    <t>L4-014-00190</t>
  </si>
  <si>
    <t>San Juan Medical Center</t>
  </si>
  <si>
    <t>L4-014-063B4</t>
  </si>
  <si>
    <t>Balong Bato Barangay Hall</t>
  </si>
  <si>
    <t>L4-014-04D2B</t>
  </si>
  <si>
    <t>San Juan National High School</t>
  </si>
  <si>
    <t>Missing equipment</t>
  </si>
  <si>
    <t>L4-014-00753</t>
  </si>
  <si>
    <t>San Juan Elementary School</t>
  </si>
  <si>
    <t>L4-014-063BB</t>
  </si>
  <si>
    <t xml:space="preserve">Pasadena Barangay Hall	</t>
  </si>
  <si>
    <t>L4-005-05E72</t>
  </si>
  <si>
    <t>Isabelita Barangay Hall</t>
  </si>
  <si>
    <t>L4-022-006B9</t>
  </si>
  <si>
    <t>Ricardo P. Cruz Sr. Elementary School</t>
  </si>
  <si>
    <t>Taguig City</t>
  </si>
  <si>
    <t>L4-022-05EED</t>
  </si>
  <si>
    <t>Palar Health Center</t>
  </si>
  <si>
    <t>L4-022-04D05</t>
  </si>
  <si>
    <t>Gen. Ricardo G. Papa Sr. Memorial High School - Annex</t>
  </si>
  <si>
    <t>L4-022-049DF</t>
  </si>
  <si>
    <t>Maria Asuncion Rodriguez Tiñga High School</t>
  </si>
  <si>
    <t>L4-012-007FF</t>
  </si>
  <si>
    <t>Punturin Elementary School</t>
  </si>
  <si>
    <t>Valenzuela City</t>
  </si>
  <si>
    <t>14.740331, 120.989604</t>
  </si>
  <si>
    <t>L4-012-05FE1</t>
  </si>
  <si>
    <t>Ugong Health Center</t>
  </si>
  <si>
    <t>14.693987, 121.009677</t>
  </si>
  <si>
    <t>Reset modem/AP</t>
  </si>
  <si>
    <t>L4-012-001B7</t>
  </si>
  <si>
    <t>Valenzuela Medical Center</t>
  </si>
  <si>
    <t>L4-012-05FBE</t>
  </si>
  <si>
    <t>Canumay East Health Center</t>
  </si>
  <si>
    <t>14.7172076, 120.9917995</t>
  </si>
  <si>
    <t>L4-012-007F4</t>
  </si>
  <si>
    <t>Canumay East Elementary School</t>
  </si>
  <si>
    <t>14.719814, 120.993127</t>
  </si>
  <si>
    <t>L4-012-007EC</t>
  </si>
  <si>
    <t>Isla Elementary School</t>
  </si>
  <si>
    <t>14.705958, 120.949738</t>
  </si>
  <si>
    <t>L4-012-05FDE</t>
  </si>
  <si>
    <t>Serrano Health Center</t>
  </si>
  <si>
    <t>L4-012-007E7</t>
  </si>
  <si>
    <t>Maysan Elementary School</t>
  </si>
  <si>
    <t>14.6992289, 120.9798715</t>
  </si>
  <si>
    <t>L4-012-04D15</t>
  </si>
  <si>
    <t>Caruhatan National High School</t>
  </si>
  <si>
    <t>L4-012-05FD6</t>
  </si>
  <si>
    <t>Parada Health Center</t>
  </si>
  <si>
    <t>L4-012-007EF</t>
  </si>
  <si>
    <t>Paltok Elementary School</t>
  </si>
  <si>
    <t>L4-012-05FCE</t>
  </si>
  <si>
    <t>Manotok Health Center</t>
  </si>
  <si>
    <t>14.682913, 120.979741</t>
  </si>
  <si>
    <t>L4-022-0598B</t>
  </si>
  <si>
    <t>Pamantasan ng Lungsod ng Valenzuela - Annex</t>
  </si>
  <si>
    <t>14.695300, 120.967519</t>
  </si>
  <si>
    <t>Power issue - temporary power/7-8 mtrs extension will provide</t>
  </si>
  <si>
    <t>L4-012-05FDB</t>
  </si>
  <si>
    <t>Punturin Health Center</t>
  </si>
  <si>
    <t>L4-012-05FBA</t>
  </si>
  <si>
    <t>Bignay Health Center</t>
  </si>
  <si>
    <t>L4-012-04D1D</t>
  </si>
  <si>
    <t>Dalandanan National High School</t>
  </si>
  <si>
    <t>14.70922826, 120.95688997</t>
  </si>
  <si>
    <t>Renovation /missing equipment</t>
  </si>
  <si>
    <t>L4-012-007FC</t>
  </si>
  <si>
    <t>Wawang Pulo Elementary School</t>
  </si>
  <si>
    <t>14.7334461, 120.9279584</t>
  </si>
  <si>
    <t>Blinking LOS/ Lan 2 connected</t>
  </si>
  <si>
    <t>L4-012-05FC6</t>
  </si>
  <si>
    <t>General Tibucio de Leon Health Center II</t>
  </si>
  <si>
    <t>14.685624, 120.990862</t>
  </si>
  <si>
    <t>Blinking LoS / Lan 2 connected</t>
  </si>
  <si>
    <t>L4-012-007F0</t>
  </si>
  <si>
    <t>A. Deato Elementary School</t>
  </si>
  <si>
    <t>14.711600, 120.942535</t>
  </si>
  <si>
    <t>Defective modem power supply/wrong pin sa google map ang location/cable to AP should be repair</t>
  </si>
  <si>
    <t>L4-012-04D16</t>
  </si>
  <si>
    <t>Maysan National High School</t>
  </si>
  <si>
    <t>14.699774, 120.979207</t>
  </si>
  <si>
    <t>Defective modem power supply</t>
  </si>
  <si>
    <t>L4-012-05FCF</t>
  </si>
  <si>
    <t>Mapulang Lupa Health Center</t>
  </si>
  <si>
    <t>14.702341, 121.000610</t>
  </si>
  <si>
    <t>L4-012-05FE2</t>
  </si>
  <si>
    <t xml:space="preserve">Veinte Reales Health Center  </t>
  </si>
  <si>
    <t>14.714055, 120.966832</t>
  </si>
  <si>
    <t>L4-012-007E2</t>
  </si>
  <si>
    <t xml:space="preserve">Parada Elementary School </t>
  </si>
  <si>
    <t>14.698724, 120.988528</t>
  </si>
  <si>
    <t>L4-012-05FC9</t>
  </si>
  <si>
    <t xml:space="preserve">Lawang Bato Health Center   </t>
  </si>
  <si>
    <t>14.730368, 120.993722</t>
  </si>
  <si>
    <t>L4-012-05FD2</t>
  </si>
  <si>
    <t>Maysan Health Center</t>
  </si>
  <si>
    <t>14.698690, 120.977773</t>
  </si>
  <si>
    <t>L4-007-05FA4</t>
  </si>
  <si>
    <t>Panghulo Health Center</t>
  </si>
  <si>
    <t>14.687061, 120.952557</t>
  </si>
  <si>
    <t>Defective modem (oneaccess)</t>
  </si>
  <si>
    <t>L4-012-0080B</t>
  </si>
  <si>
    <t>Andres Mariano Elementary School</t>
  </si>
  <si>
    <t>14.714058, 121.000132</t>
  </si>
  <si>
    <t>L4-007-05FA9</t>
  </si>
  <si>
    <t>Tinajeros Health Center</t>
  </si>
  <si>
    <t>14.671578, 120.970463</t>
  </si>
  <si>
    <t>L4-007-007BC</t>
  </si>
  <si>
    <t>Acacia Elementary School</t>
  </si>
  <si>
    <t>14.667423, 120.968838</t>
  </si>
  <si>
    <t>Static AP</t>
  </si>
  <si>
    <t>L4-003-00795</t>
  </si>
  <si>
    <t xml:space="preserve">Grace Park Elementary School - Main </t>
  </si>
  <si>
    <t>14.646312, 120.976877</t>
  </si>
  <si>
    <t>L4-005-05E71</t>
  </si>
  <si>
    <t>Bagong Barangay Health Center</t>
  </si>
  <si>
    <t>14.586120, 121.001792</t>
  </si>
  <si>
    <t>L4-005-05E70</t>
  </si>
  <si>
    <t>Paco Health Center</t>
  </si>
  <si>
    <t>14.583350, 120.996415</t>
  </si>
  <si>
    <t>L4-013-006B2</t>
  </si>
  <si>
    <t>La Huerta Elementary School</t>
  </si>
  <si>
    <t>14.497976, 120.993042</t>
  </si>
  <si>
    <t>Reset modem/poor internet</t>
  </si>
  <si>
    <t>L4-004-04D23</t>
  </si>
  <si>
    <t>Captain Albert Aguilar National High School</t>
  </si>
  <si>
    <t>14.456851, 120.994981</t>
  </si>
  <si>
    <t>Blinking Los</t>
  </si>
  <si>
    <t>L4-012-04D19</t>
  </si>
  <si>
    <t xml:space="preserve">Valenzuela National High School	</t>
  </si>
  <si>
    <t>14.672658, 120.984592</t>
  </si>
  <si>
    <t>L4-003-063C4</t>
  </si>
  <si>
    <t xml:space="preserve">178-A Health Center </t>
  </si>
  <si>
    <t>14.757072, 121.056268</t>
  </si>
  <si>
    <t>L4-003-05F87</t>
  </si>
  <si>
    <t>Barangay 18 Health Center</t>
  </si>
  <si>
    <t>14.648081, 120.971600</t>
  </si>
  <si>
    <t>L4-013-05EC1</t>
  </si>
  <si>
    <t xml:space="preserve">Don Bosco Health Center	</t>
  </si>
  <si>
    <t>14.481832, 121.037354</t>
  </si>
  <si>
    <t>L4-004-05E99</t>
  </si>
  <si>
    <t>Pulanglupa Dos Health Center</t>
  </si>
  <si>
    <t>14.461430, 120.985165</t>
  </si>
  <si>
    <t>L4-012-05FE0</t>
  </si>
  <si>
    <t>Tugatog Health Center</t>
  </si>
  <si>
    <t>14.720810, 120.965967</t>
  </si>
  <si>
    <t>L4-00A-05FAC</t>
  </si>
  <si>
    <t>Bagumbayan Health Center</t>
  </si>
  <si>
    <t>14.652732, 120.949088</t>
  </si>
  <si>
    <t>L4-003-05F8B</t>
  </si>
  <si>
    <t>Camarin D Health Center</t>
  </si>
  <si>
    <t>14.7653630, 121.0450780</t>
  </si>
  <si>
    <t>L4-011-00644</t>
  </si>
  <si>
    <t xml:space="preserve">Sinag-Tala Elementary School	</t>
  </si>
  <si>
    <t>14.650067, 121.015857</t>
  </si>
  <si>
    <t>L4-011-00626</t>
  </si>
  <si>
    <t xml:space="preserve"> Libis Elementary School</t>
  </si>
  <si>
    <t>14.615349, 121.073012</t>
  </si>
  <si>
    <t>L4-005-05E7A</t>
  </si>
  <si>
    <t>San Miguel Health Center</t>
  </si>
  <si>
    <t>14.592662, 120.990735</t>
  </si>
  <si>
    <t>Power issue</t>
  </si>
  <si>
    <t>username</t>
  </si>
  <si>
    <t>password</t>
  </si>
  <si>
    <t>admin</t>
  </si>
  <si>
    <t>pogi123</t>
  </si>
  <si>
    <t>Other income</t>
  </si>
  <si>
    <t>Date</t>
  </si>
  <si>
    <t>LOCALITY</t>
  </si>
  <si>
    <t>No. of Sites</t>
  </si>
  <si>
    <t>TODAY</t>
  </si>
  <si>
    <t>AVG INCOME</t>
  </si>
  <si>
    <t>Total Site</t>
  </si>
  <si>
    <t>Total Income</t>
  </si>
  <si>
    <t>LESS CA</t>
  </si>
  <si>
    <t>MOTOR</t>
  </si>
  <si>
    <t>NET INCOME</t>
  </si>
  <si>
    <t>Gas Allowance</t>
  </si>
  <si>
    <t>CA</t>
  </si>
  <si>
    <t>Motor(3)</t>
  </si>
  <si>
    <t>ERWIN ANOG</t>
  </si>
  <si>
    <t>MARIBANK</t>
  </si>
  <si>
    <t>AVERAGE</t>
  </si>
  <si>
    <t>LIST OF SITES NEED TO VISIT</t>
  </si>
  <si>
    <t>ISSUE/Remarks</t>
  </si>
  <si>
    <t>RAW</t>
  </si>
  <si>
    <t>INPUT</t>
  </si>
  <si>
    <t>Location ID</t>
  </si>
  <si>
    <t>SITE NAME</t>
  </si>
  <si>
    <t>LAST DATE VISIT</t>
  </si>
  <si>
    <t>L4-003-007B8</t>
  </si>
  <si>
    <t>Bagong Barrio Elementary School</t>
  </si>
  <si>
    <t>Pres. Diosdado Macapagal Memorial Medical Center</t>
  </si>
  <si>
    <t>Board of Investments</t>
  </si>
  <si>
    <t>L4-008-006F2</t>
  </si>
  <si>
    <t>Hen. Pio del Pilar Elementary School I</t>
  </si>
  <si>
    <t>L4-008-00701</t>
  </si>
  <si>
    <t>Makati Elementary School</t>
  </si>
  <si>
    <t>L4-005-0007D</t>
  </si>
  <si>
    <t>Department of Finance</t>
  </si>
  <si>
    <t>L4-005-00718</t>
  </si>
  <si>
    <t>E. delos Santos Elementary School</t>
  </si>
  <si>
    <t>L4-005-0006D</t>
  </si>
  <si>
    <t>Intramuros Administration</t>
  </si>
  <si>
    <t xml:space="preserve">Soldiers' Hills Elementary School  </t>
  </si>
  <si>
    <t>L4-013-05ED0</t>
  </si>
  <si>
    <t>Vitalez Health Center</t>
  </si>
  <si>
    <t>L4-008-06395</t>
  </si>
  <si>
    <t>Philippine National Police Aviation Security Group</t>
  </si>
  <si>
    <t>Overseas Workers Welfare Administration</t>
  </si>
  <si>
    <t>L4-011-00109</t>
  </si>
  <si>
    <t>East Avenue Medical Center</t>
  </si>
  <si>
    <t>Sinag-Tala Elementary School</t>
  </si>
  <si>
    <t>Libis Elementary School</t>
  </si>
  <si>
    <t>L4-005-06379</t>
  </si>
  <si>
    <t>Balonbato Barangay Hall</t>
  </si>
  <si>
    <t>TOTAL</t>
  </si>
  <si>
    <t>SITE</t>
  </si>
  <si>
    <t>Status</t>
  </si>
  <si>
    <t>Date visited</t>
  </si>
  <si>
    <t>Coordinates</t>
  </si>
  <si>
    <t>(OFFLINE MAY 25)</t>
  </si>
  <si>
    <t>Pres. Diosdado Macapagal Memorial Medical Center  (NO POWER DEFECTIVE COMMBOX BREAKER)</t>
  </si>
  <si>
    <t>Camarin "D" Health Center  (OFFLINE MAY 12)</t>
  </si>
  <si>
    <t>(OFFLINE MAY 26)</t>
  </si>
  <si>
    <t>(OFFLINE MAY 21)</t>
  </si>
  <si>
    <t>Makati Elementary School (OFFLINE MAY 26)</t>
  </si>
  <si>
    <t>Tañong Integrated School  (DEFECTIVE AP)</t>
  </si>
  <si>
    <t>M. Earnshaw Health Center (SITE INSPECTION)</t>
  </si>
  <si>
    <t>(DEFECTIVE AP)</t>
  </si>
  <si>
    <t>Bureau of Customs   (OFFLINE MAY 22)</t>
  </si>
  <si>
    <t>Pres. Sergio Osmena, Sr. High School (DEFECTIVE AP)</t>
  </si>
  <si>
    <t>Intramuros Administration  (OFFLINE MAY 12)</t>
  </si>
  <si>
    <t>Vitalez Health Center  (SCHEDULE FOR SITE RELOCATION)</t>
  </si>
  <si>
    <t>Don Bosco Health Center</t>
  </si>
  <si>
    <t>Philippine National Police Aviation Security Group (OFFLINE MAY 12)</t>
  </si>
  <si>
    <t>Column 1</t>
  </si>
  <si>
    <t>Column 2</t>
  </si>
  <si>
    <t>Column 3</t>
  </si>
  <si>
    <t>Column 4</t>
  </si>
  <si>
    <t>Column 5</t>
  </si>
  <si>
    <t>(SITE RELOCATION)</t>
  </si>
  <si>
    <t>(AP SWITCH REPLACEMENT)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</si>
</sst>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yyyy-mm-dd"/>
    <numFmt numFmtId="166" formatCode="M/d/yyyy"/>
    <numFmt numFmtId="167" formatCode="MM-dd-yyyy"/>
    <numFmt numFmtId="168" formatCode="m/d/yyyy h:mm:ss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FFFFFF"/>
      <name val="Courier New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i/>
      <color theme="1"/>
      <name val="Arial"/>
      <scheme val="minor"/>
    </font>
    <font>
      <b/>
      <color rgb="FFFF0000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Oswald"/>
    </font>
    <font/>
    <font>
      <b/>
      <color rgb="FFFFFFFF"/>
      <name val="Lexend"/>
    </font>
    <font>
      <b/>
      <i/>
      <sz val="12.0"/>
      <color theme="1"/>
      <name val="Arial"/>
      <scheme val="minor"/>
    </font>
    <font>
      <b/>
      <sz val="14.0"/>
      <color theme="1"/>
      <name val="Arial"/>
      <scheme val="minor"/>
    </font>
    <font>
      <i/>
      <sz val="14.0"/>
      <color theme="1"/>
      <name val="Impact"/>
    </font>
  </fonts>
  <fills count="1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/>
    </xf>
    <xf borderId="0" fillId="2" fontId="4" numFmtId="0" xfId="0" applyAlignment="1" applyFill="1" applyFont="1">
      <alignment horizontal="center" readingOrder="0" shrinkToFit="0" wrapText="0"/>
    </xf>
    <xf borderId="0" fillId="0" fontId="5" numFmtId="164" xfId="0" applyAlignment="1" applyFont="1" applyNumberFormat="1">
      <alignment readingOrder="0"/>
    </xf>
    <xf borderId="0" fillId="2" fontId="5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ont="1">
      <alignment readingOrder="0"/>
    </xf>
    <xf borderId="0" fillId="4" fontId="4" numFmtId="164" xfId="0" applyAlignment="1" applyFill="1" applyFont="1" applyNumberFormat="1">
      <alignment horizontal="center" readingOrder="0" shrinkToFit="0" wrapText="0"/>
    </xf>
    <xf borderId="0" fillId="3" fontId="5" numFmtId="164" xfId="0" applyAlignment="1" applyFont="1" applyNumberForma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164" xfId="0" applyFont="1" applyNumberFormat="1"/>
    <xf borderId="1" fillId="3" fontId="6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7" numFmtId="0" xfId="0" applyFont="1"/>
    <xf borderId="1" fillId="0" fontId="1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0" fillId="6" fontId="9" numFmtId="0" xfId="0" applyAlignment="1" applyFill="1" applyFont="1">
      <alignment horizontal="center"/>
    </xf>
    <xf borderId="0" fillId="0" fontId="10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1" fillId="7" fontId="5" numFmtId="0" xfId="0" applyAlignment="1" applyBorder="1" applyFill="1" applyFont="1">
      <alignment readingOrder="0"/>
    </xf>
    <xf borderId="3" fillId="0" fontId="1" numFmtId="0" xfId="0" applyAlignment="1" applyBorder="1" applyFont="1">
      <alignment horizontal="left" readingOrder="0"/>
    </xf>
    <xf borderId="1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8" fontId="1" numFmtId="3" xfId="0" applyAlignment="1" applyBorder="1" applyFill="1" applyFont="1" applyNumberFormat="1">
      <alignment horizontal="center"/>
    </xf>
    <xf borderId="0" fillId="9" fontId="1" numFmtId="4" xfId="0" applyAlignment="1" applyFill="1" applyFont="1" applyNumberFormat="1">
      <alignment horizontal="center" readingOrder="0" vertical="bottom"/>
    </xf>
    <xf borderId="1" fillId="0" fontId="1" numFmtId="0" xfId="0" applyBorder="1" applyFont="1"/>
    <xf borderId="1" fillId="0" fontId="10" numFmtId="0" xfId="0" applyAlignment="1" applyBorder="1" applyFont="1">
      <alignment horizontal="left" readingOrder="0"/>
    </xf>
    <xf borderId="1" fillId="9" fontId="8" numFmtId="0" xfId="0" applyAlignment="1" applyBorder="1" applyFont="1">
      <alignment horizontal="right" readingOrder="0"/>
    </xf>
    <xf borderId="1" fillId="2" fontId="6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right" readingOrder="0"/>
    </xf>
    <xf borderId="0" fillId="0" fontId="10" numFmtId="0" xfId="0" applyAlignment="1" applyFont="1">
      <alignment horizontal="center" readingOrder="0"/>
    </xf>
    <xf borderId="0" fillId="10" fontId="5" numFmtId="0" xfId="0" applyAlignment="1" applyFill="1" applyFont="1">
      <alignment horizontal="right" readingOrder="0"/>
    </xf>
    <xf borderId="0" fillId="0" fontId="7" numFmtId="3" xfId="0" applyAlignment="1" applyFont="1" applyNumberFormat="1">
      <alignment horizontal="center"/>
    </xf>
    <xf borderId="0" fillId="2" fontId="5" numFmtId="0" xfId="0" applyAlignment="1" applyFont="1">
      <alignment horizontal="center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12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right" readingOrder="0"/>
    </xf>
    <xf borderId="2" fillId="8" fontId="13" numFmtId="0" xfId="0" applyAlignment="1" applyBorder="1" applyFont="1">
      <alignment horizontal="center" readingOrder="0"/>
    </xf>
    <xf borderId="3" fillId="0" fontId="14" numFmtId="0" xfId="0" applyBorder="1" applyFont="1"/>
    <xf borderId="1" fillId="11" fontId="15" numFmtId="0" xfId="0" applyAlignment="1" applyBorder="1" applyFill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2" xfId="0" applyAlignment="1" applyFont="1" applyNumberFormat="1">
      <alignment horizontal="center"/>
    </xf>
    <xf borderId="0" fillId="0" fontId="18" numFmtId="0" xfId="0" applyAlignment="1" applyFont="1">
      <alignment readingOrder="0"/>
    </xf>
    <xf borderId="0" fillId="3" fontId="5" numFmtId="0" xfId="0" applyFont="1"/>
    <xf borderId="0" fillId="3" fontId="1" numFmtId="0" xfId="0" applyFont="1"/>
    <xf borderId="0" fillId="0" fontId="2" numFmtId="0" xfId="0" applyAlignment="1" applyFont="1">
      <alignment horizontal="left"/>
    </xf>
    <xf borderId="0" fillId="0" fontId="10" numFmtId="0" xfId="0" applyFont="1"/>
    <xf borderId="0" fillId="0" fontId="2" numFmtId="165" xfId="0" applyFont="1" applyNumberFormat="1"/>
    <xf borderId="0" fillId="5" fontId="1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12" fontId="10" numFmtId="166" xfId="0" applyAlignment="1" applyFill="1" applyFont="1" applyNumberFormat="1">
      <alignment readingOrder="0"/>
    </xf>
    <xf borderId="0" fillId="12" fontId="1" numFmtId="0" xfId="0" applyAlignment="1" applyFont="1">
      <alignment horizontal="left" readingOrder="0"/>
    </xf>
    <xf borderId="0" fillId="12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67" xfId="0" applyAlignment="1" applyFont="1" applyNumberFormat="1">
      <alignment readingOrder="0"/>
    </xf>
    <xf borderId="2" fillId="13" fontId="1" numFmtId="0" xfId="0" applyAlignment="1" applyBorder="1" applyFont="1">
      <alignment readingOrder="0"/>
    </xf>
    <xf borderId="4" fillId="13" fontId="1" numFmtId="0" xfId="0" applyAlignment="1" applyBorder="1" applyFont="1">
      <alignment readingOrder="0"/>
    </xf>
    <xf borderId="3" fillId="13" fontId="1" numFmtId="0" xfId="0" applyAlignment="1" applyBorder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11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/>
        <i/>
      </font>
      <fill>
        <patternFill patternType="none"/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Tugon-style">
      <tableStyleElement dxfId="7" type="headerRow"/>
      <tableStyleElement dxfId="8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" displayName="Form_Responses" name="Form_Responses" id="1">
  <tableColumns count="5">
    <tableColumn name="Column 1" id="1"/>
    <tableColumn name="Column 2" id="2"/>
    <tableColumn name="Column 3" id="3"/>
    <tableColumn name="Column 4" id="4"/>
    <tableColumn name="Column 5" id="5"/>
  </tableColumns>
  <tableStyleInfo name="Tug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9.38"/>
    <col customWidth="1" min="3" max="3" width="12.25"/>
    <col customWidth="1" min="4" max="4" width="36.75"/>
    <col customWidth="1" min="6" max="6" width="22.38"/>
    <col customWidth="1" min="11" max="11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46168.0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16</v>
      </c>
      <c r="J2" s="2" t="s">
        <v>16</v>
      </c>
      <c r="K2" s="2" t="s">
        <v>18</v>
      </c>
    </row>
    <row r="3">
      <c r="A3" s="2" t="s">
        <v>11</v>
      </c>
      <c r="B3" s="3">
        <v>46125.0</v>
      </c>
      <c r="C3" s="2" t="s">
        <v>19</v>
      </c>
      <c r="D3" s="2" t="s">
        <v>20</v>
      </c>
      <c r="E3" s="2" t="s">
        <v>14</v>
      </c>
    </row>
    <row r="4">
      <c r="A4" s="2" t="s">
        <v>11</v>
      </c>
      <c r="B4" s="3">
        <v>46125.0</v>
      </c>
      <c r="C4" s="2" t="s">
        <v>21</v>
      </c>
      <c r="D4" s="2" t="s">
        <v>22</v>
      </c>
      <c r="E4" s="2" t="s">
        <v>14</v>
      </c>
      <c r="F4" s="2" t="s">
        <v>23</v>
      </c>
    </row>
    <row r="5">
      <c r="A5" s="2" t="s">
        <v>11</v>
      </c>
      <c r="B5" s="3">
        <v>46175.0</v>
      </c>
      <c r="C5" s="2" t="s">
        <v>24</v>
      </c>
      <c r="D5" s="2" t="s">
        <v>25</v>
      </c>
      <c r="E5" s="2" t="s">
        <v>14</v>
      </c>
      <c r="F5" s="2" t="s">
        <v>26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27</v>
      </c>
    </row>
    <row r="6">
      <c r="A6" s="2" t="s">
        <v>11</v>
      </c>
      <c r="B6" s="3">
        <v>46127.0</v>
      </c>
      <c r="C6" s="2" t="s">
        <v>28</v>
      </c>
      <c r="D6" s="2" t="s">
        <v>29</v>
      </c>
      <c r="E6" s="2" t="s">
        <v>14</v>
      </c>
    </row>
    <row r="7">
      <c r="A7" s="2" t="s">
        <v>11</v>
      </c>
      <c r="B7" s="3">
        <v>46182.0</v>
      </c>
      <c r="C7" s="2" t="s">
        <v>30</v>
      </c>
      <c r="D7" s="2" t="s">
        <v>31</v>
      </c>
      <c r="E7" s="2" t="s">
        <v>14</v>
      </c>
      <c r="F7" s="2" t="s">
        <v>32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33</v>
      </c>
    </row>
    <row r="8">
      <c r="A8" s="2" t="s">
        <v>11</v>
      </c>
      <c r="B8" s="3">
        <v>46133.0</v>
      </c>
      <c r="C8" s="4" t="s">
        <v>34</v>
      </c>
      <c r="D8" s="4" t="s">
        <v>35</v>
      </c>
      <c r="E8" s="2" t="s">
        <v>14</v>
      </c>
      <c r="F8" s="2" t="s">
        <v>36</v>
      </c>
    </row>
    <row r="9">
      <c r="A9" s="2" t="s">
        <v>11</v>
      </c>
      <c r="B9" s="3">
        <v>46168.0</v>
      </c>
      <c r="C9" s="2" t="s">
        <v>37</v>
      </c>
      <c r="D9" s="2" t="s">
        <v>38</v>
      </c>
      <c r="E9" s="2" t="s">
        <v>14</v>
      </c>
      <c r="F9" s="2" t="s">
        <v>39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33</v>
      </c>
    </row>
    <row r="10">
      <c r="A10" s="2" t="s">
        <v>11</v>
      </c>
      <c r="B10" s="3">
        <v>46135.0</v>
      </c>
      <c r="C10" s="4" t="s">
        <v>40</v>
      </c>
      <c r="D10" s="4" t="s">
        <v>41</v>
      </c>
      <c r="E10" s="2" t="s">
        <v>14</v>
      </c>
    </row>
    <row r="11">
      <c r="A11" s="2" t="s">
        <v>11</v>
      </c>
      <c r="B11" s="3">
        <v>46176.0</v>
      </c>
      <c r="C11" s="2" t="s">
        <v>42</v>
      </c>
      <c r="D11" s="2" t="s">
        <v>43</v>
      </c>
      <c r="E11" s="2" t="s">
        <v>14</v>
      </c>
      <c r="F11" s="2" t="s">
        <v>44</v>
      </c>
      <c r="K11" s="2" t="s">
        <v>45</v>
      </c>
    </row>
    <row r="12">
      <c r="A12" s="2" t="s">
        <v>11</v>
      </c>
      <c r="B12" s="3">
        <v>46176.0</v>
      </c>
      <c r="C12" s="2" t="s">
        <v>46</v>
      </c>
      <c r="D12" s="2" t="s">
        <v>47</v>
      </c>
      <c r="E12" s="2" t="s">
        <v>14</v>
      </c>
      <c r="F12" s="2" t="s">
        <v>48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49</v>
      </c>
    </row>
    <row r="13">
      <c r="A13" s="2" t="s">
        <v>11</v>
      </c>
      <c r="B13" s="3">
        <v>46139.0</v>
      </c>
      <c r="C13" s="4" t="s">
        <v>50</v>
      </c>
      <c r="D13" s="4" t="s">
        <v>51</v>
      </c>
      <c r="E13" s="2" t="s">
        <v>14</v>
      </c>
    </row>
    <row r="14">
      <c r="A14" s="2" t="s">
        <v>52</v>
      </c>
      <c r="B14" s="3">
        <v>45309.0</v>
      </c>
      <c r="C14" s="2" t="s">
        <v>53</v>
      </c>
      <c r="D14" s="2" t="s">
        <v>54</v>
      </c>
      <c r="E14" s="2" t="s">
        <v>14</v>
      </c>
    </row>
    <row r="15">
      <c r="A15" s="2" t="s">
        <v>52</v>
      </c>
      <c r="B15" s="3">
        <v>46060.0</v>
      </c>
      <c r="C15" s="2" t="s">
        <v>55</v>
      </c>
      <c r="D15" s="2" t="s">
        <v>56</v>
      </c>
      <c r="E15" s="2" t="s">
        <v>14</v>
      </c>
    </row>
    <row r="16">
      <c r="A16" s="2" t="s">
        <v>11</v>
      </c>
      <c r="B16" s="3">
        <v>46155.0</v>
      </c>
      <c r="C16" s="2" t="s">
        <v>57</v>
      </c>
      <c r="D16" s="2" t="s">
        <v>58</v>
      </c>
      <c r="E16" s="2" t="s">
        <v>14</v>
      </c>
      <c r="F16" s="2" t="s">
        <v>59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60</v>
      </c>
    </row>
    <row r="17">
      <c r="A17" s="2" t="s">
        <v>11</v>
      </c>
      <c r="B17" s="5">
        <v>46147.0</v>
      </c>
      <c r="C17" s="2" t="s">
        <v>61</v>
      </c>
      <c r="D17" s="2" t="s">
        <v>62</v>
      </c>
      <c r="E17" s="2" t="s">
        <v>14</v>
      </c>
      <c r="F17" s="2" t="s">
        <v>63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33</v>
      </c>
    </row>
    <row r="18">
      <c r="A18" s="2" t="s">
        <v>11</v>
      </c>
      <c r="B18" s="5">
        <v>46147.0</v>
      </c>
      <c r="C18" s="2" t="s">
        <v>64</v>
      </c>
      <c r="D18" s="2" t="s">
        <v>65</v>
      </c>
      <c r="E18" s="2" t="s">
        <v>14</v>
      </c>
      <c r="F18" s="2" t="s">
        <v>66</v>
      </c>
      <c r="G18" s="2" t="s">
        <v>16</v>
      </c>
      <c r="H18" s="2" t="s">
        <v>17</v>
      </c>
      <c r="I18" s="2" t="s">
        <v>16</v>
      </c>
      <c r="J18" s="2" t="s">
        <v>16</v>
      </c>
      <c r="K18" s="2" t="s">
        <v>67</v>
      </c>
    </row>
    <row r="19">
      <c r="A19" s="2" t="s">
        <v>11</v>
      </c>
      <c r="B19" s="5">
        <v>46155.0</v>
      </c>
      <c r="C19" s="2" t="s">
        <v>68</v>
      </c>
      <c r="D19" s="2" t="s">
        <v>69</v>
      </c>
      <c r="E19" s="2" t="s">
        <v>14</v>
      </c>
      <c r="F19" s="2" t="s">
        <v>70</v>
      </c>
      <c r="G19" s="2" t="s">
        <v>16</v>
      </c>
      <c r="H19" s="2" t="s">
        <v>17</v>
      </c>
      <c r="I19" s="2" t="s">
        <v>16</v>
      </c>
      <c r="J19" s="2" t="s">
        <v>16</v>
      </c>
      <c r="K19" s="2" t="s">
        <v>18</v>
      </c>
    </row>
    <row r="20">
      <c r="A20" s="2" t="s">
        <v>11</v>
      </c>
      <c r="B20" s="5">
        <v>46163.0</v>
      </c>
      <c r="C20" s="2" t="s">
        <v>71</v>
      </c>
      <c r="D20" s="2" t="s">
        <v>72</v>
      </c>
      <c r="E20" s="2" t="s">
        <v>14</v>
      </c>
      <c r="F20" s="2" t="s">
        <v>73</v>
      </c>
      <c r="G20" s="2" t="s">
        <v>17</v>
      </c>
      <c r="H20" s="2" t="s">
        <v>17</v>
      </c>
      <c r="I20" s="2" t="s">
        <v>16</v>
      </c>
      <c r="J20" s="2" t="s">
        <v>16</v>
      </c>
      <c r="K20" s="2" t="s">
        <v>74</v>
      </c>
    </row>
    <row r="21">
      <c r="A21" s="2" t="s">
        <v>11</v>
      </c>
      <c r="B21" s="3">
        <v>46118.0</v>
      </c>
      <c r="C21" s="2" t="s">
        <v>75</v>
      </c>
      <c r="D21" s="2" t="s">
        <v>76</v>
      </c>
      <c r="E21" s="2" t="s">
        <v>77</v>
      </c>
    </row>
    <row r="22">
      <c r="A22" s="2" t="s">
        <v>11</v>
      </c>
      <c r="B22" s="3">
        <v>46118.0</v>
      </c>
      <c r="C22" s="2" t="s">
        <v>78</v>
      </c>
      <c r="D22" s="2" t="s">
        <v>79</v>
      </c>
      <c r="E22" s="2" t="s">
        <v>77</v>
      </c>
    </row>
    <row r="23">
      <c r="A23" s="2" t="s">
        <v>11</v>
      </c>
      <c r="B23" s="3">
        <v>46119.0</v>
      </c>
      <c r="C23" s="2" t="s">
        <v>80</v>
      </c>
      <c r="D23" s="2" t="s">
        <v>81</v>
      </c>
      <c r="E23" s="2" t="s">
        <v>77</v>
      </c>
    </row>
    <row r="24">
      <c r="A24" s="2" t="s">
        <v>11</v>
      </c>
      <c r="B24" s="3">
        <v>46119.0</v>
      </c>
      <c r="C24" s="2" t="s">
        <v>82</v>
      </c>
      <c r="D24" s="2" t="s">
        <v>83</v>
      </c>
      <c r="E24" s="2" t="s">
        <v>77</v>
      </c>
    </row>
    <row r="25">
      <c r="A25" s="2" t="s">
        <v>11</v>
      </c>
      <c r="B25" s="3">
        <v>46142.0</v>
      </c>
      <c r="C25" s="2" t="s">
        <v>84</v>
      </c>
      <c r="D25" s="2" t="s">
        <v>85</v>
      </c>
      <c r="E25" s="2" t="s">
        <v>77</v>
      </c>
    </row>
    <row r="26">
      <c r="A26" s="2" t="s">
        <v>52</v>
      </c>
      <c r="B26" s="3">
        <v>43831.0</v>
      </c>
      <c r="C26" s="2" t="s">
        <v>86</v>
      </c>
      <c r="D26" s="2" t="s">
        <v>87</v>
      </c>
      <c r="E26" s="2" t="s">
        <v>77</v>
      </c>
    </row>
    <row r="27">
      <c r="A27" s="2" t="s">
        <v>88</v>
      </c>
      <c r="B27" s="5">
        <v>46023.0</v>
      </c>
      <c r="C27" s="2" t="s">
        <v>89</v>
      </c>
      <c r="D27" s="2" t="s">
        <v>90</v>
      </c>
      <c r="E27" s="2" t="s">
        <v>77</v>
      </c>
    </row>
    <row r="28">
      <c r="A28" s="2" t="s">
        <v>11</v>
      </c>
      <c r="B28" s="5">
        <v>45780.0</v>
      </c>
      <c r="C28" s="2" t="s">
        <v>91</v>
      </c>
      <c r="D28" s="2" t="s">
        <v>92</v>
      </c>
      <c r="E28" s="2" t="s">
        <v>77</v>
      </c>
      <c r="F28" s="2" t="s">
        <v>93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94</v>
      </c>
    </row>
    <row r="29">
      <c r="A29" s="2" t="s">
        <v>11</v>
      </c>
      <c r="B29" s="5">
        <v>45780.0</v>
      </c>
      <c r="C29" s="2" t="s">
        <v>95</v>
      </c>
      <c r="D29" s="2" t="s">
        <v>96</v>
      </c>
      <c r="E29" s="2" t="s">
        <v>77</v>
      </c>
      <c r="F29" s="2" t="s">
        <v>97</v>
      </c>
    </row>
    <row r="30">
      <c r="A30" s="2" t="s">
        <v>98</v>
      </c>
      <c r="B30" s="5"/>
      <c r="C30" s="2" t="s">
        <v>99</v>
      </c>
      <c r="D30" s="2" t="s">
        <v>100</v>
      </c>
      <c r="E30" s="2" t="s">
        <v>77</v>
      </c>
      <c r="F30" s="2" t="s">
        <v>93</v>
      </c>
      <c r="G30" s="2" t="s">
        <v>16</v>
      </c>
      <c r="H30" s="2" t="s">
        <v>17</v>
      </c>
      <c r="I30" s="2" t="s">
        <v>16</v>
      </c>
      <c r="J30" s="2" t="s">
        <v>16</v>
      </c>
      <c r="K30" s="2" t="s">
        <v>18</v>
      </c>
    </row>
    <row r="31">
      <c r="A31" s="2" t="s">
        <v>98</v>
      </c>
      <c r="C31" s="2" t="s">
        <v>101</v>
      </c>
      <c r="D31" s="2" t="s">
        <v>102</v>
      </c>
      <c r="E31" s="2" t="s">
        <v>77</v>
      </c>
      <c r="F31" s="2" t="s">
        <v>93</v>
      </c>
      <c r="G31" s="2" t="s">
        <v>16</v>
      </c>
      <c r="H31" s="2" t="s">
        <v>16</v>
      </c>
      <c r="I31" s="2" t="s">
        <v>16</v>
      </c>
      <c r="J31" s="2" t="s">
        <v>16</v>
      </c>
    </row>
    <row r="32">
      <c r="A32" s="2" t="s">
        <v>11</v>
      </c>
      <c r="B32" s="5">
        <v>45781.0</v>
      </c>
      <c r="C32" s="2" t="s">
        <v>103</v>
      </c>
      <c r="D32" s="2" t="s">
        <v>104</v>
      </c>
      <c r="E32" s="2" t="s">
        <v>77</v>
      </c>
      <c r="F32" s="2" t="s">
        <v>105</v>
      </c>
    </row>
    <row r="33">
      <c r="A33" s="2" t="s">
        <v>11</v>
      </c>
      <c r="B33" s="3">
        <v>46126.0</v>
      </c>
      <c r="C33" s="2" t="s">
        <v>106</v>
      </c>
      <c r="D33" s="2" t="s">
        <v>107</v>
      </c>
      <c r="E33" s="2" t="s">
        <v>108</v>
      </c>
      <c r="F33" s="2" t="s">
        <v>109</v>
      </c>
    </row>
    <row r="34">
      <c r="A34" s="2" t="s">
        <v>11</v>
      </c>
      <c r="B34" s="3">
        <v>46126.0</v>
      </c>
      <c r="C34" s="2" t="s">
        <v>110</v>
      </c>
      <c r="D34" s="2" t="s">
        <v>111</v>
      </c>
      <c r="E34" s="2" t="s">
        <v>108</v>
      </c>
      <c r="F34" s="2" t="s">
        <v>112</v>
      </c>
    </row>
    <row r="35">
      <c r="A35" s="2" t="s">
        <v>11</v>
      </c>
      <c r="B35" s="3">
        <v>46134.0</v>
      </c>
      <c r="C35" s="6" t="s">
        <v>113</v>
      </c>
      <c r="D35" s="6" t="s">
        <v>114</v>
      </c>
      <c r="E35" s="2" t="s">
        <v>108</v>
      </c>
    </row>
    <row r="36">
      <c r="A36" s="2" t="s">
        <v>11</v>
      </c>
      <c r="B36" s="3">
        <v>46170.0</v>
      </c>
      <c r="C36" s="7" t="s">
        <v>115</v>
      </c>
      <c r="D36" s="7" t="s">
        <v>116</v>
      </c>
      <c r="E36" s="2" t="s">
        <v>108</v>
      </c>
      <c r="F36" s="2" t="s">
        <v>117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33</v>
      </c>
    </row>
    <row r="37">
      <c r="A37" s="2" t="s">
        <v>11</v>
      </c>
      <c r="B37" s="3">
        <v>46134.0</v>
      </c>
      <c r="C37" s="4" t="s">
        <v>118</v>
      </c>
      <c r="D37" s="4" t="s">
        <v>119</v>
      </c>
      <c r="E37" s="2" t="s">
        <v>108</v>
      </c>
    </row>
    <row r="38">
      <c r="A38" s="2" t="s">
        <v>11</v>
      </c>
      <c r="B38" s="3">
        <v>46150.0</v>
      </c>
      <c r="C38" s="2" t="s">
        <v>120</v>
      </c>
      <c r="D38" s="2" t="s">
        <v>121</v>
      </c>
      <c r="E38" s="2" t="s">
        <v>108</v>
      </c>
      <c r="F38" s="2" t="s">
        <v>122</v>
      </c>
      <c r="G38" s="2" t="s">
        <v>16</v>
      </c>
      <c r="H38" s="2" t="s">
        <v>17</v>
      </c>
      <c r="I38" s="2" t="s">
        <v>16</v>
      </c>
      <c r="J38" s="2" t="s">
        <v>16</v>
      </c>
      <c r="K38" s="2" t="s">
        <v>18</v>
      </c>
    </row>
    <row r="39">
      <c r="A39" s="2" t="s">
        <v>11</v>
      </c>
      <c r="B39" s="3">
        <v>46150.0</v>
      </c>
      <c r="C39" s="6" t="s">
        <v>123</v>
      </c>
      <c r="D39" s="6" t="s">
        <v>124</v>
      </c>
      <c r="E39" s="2" t="s">
        <v>108</v>
      </c>
      <c r="K39" s="2" t="s">
        <v>125</v>
      </c>
    </row>
    <row r="40">
      <c r="A40" s="6" t="s">
        <v>52</v>
      </c>
      <c r="B40" s="3">
        <v>46147.0</v>
      </c>
      <c r="C40" s="4" t="s">
        <v>126</v>
      </c>
      <c r="D40" s="4" t="s">
        <v>127</v>
      </c>
      <c r="E40" s="2" t="s">
        <v>108</v>
      </c>
    </row>
    <row r="41">
      <c r="A41" s="2" t="s">
        <v>52</v>
      </c>
      <c r="B41" s="3">
        <v>46127.0</v>
      </c>
      <c r="C41" s="2" t="s">
        <v>128</v>
      </c>
      <c r="D41" s="2" t="s">
        <v>129</v>
      </c>
      <c r="E41" s="2" t="s">
        <v>130</v>
      </c>
    </row>
    <row r="42">
      <c r="A42" s="2" t="s">
        <v>52</v>
      </c>
      <c r="B42" s="3">
        <v>46127.0</v>
      </c>
      <c r="C42" s="2" t="s">
        <v>131</v>
      </c>
      <c r="D42" s="2" t="s">
        <v>132</v>
      </c>
      <c r="E42" s="2" t="s">
        <v>130</v>
      </c>
    </row>
    <row r="43">
      <c r="A43" s="2" t="s">
        <v>52</v>
      </c>
      <c r="B43" s="3">
        <v>46127.0</v>
      </c>
      <c r="C43" s="2" t="s">
        <v>133</v>
      </c>
      <c r="D43" s="2" t="s">
        <v>134</v>
      </c>
      <c r="E43" s="2" t="s">
        <v>130</v>
      </c>
    </row>
    <row r="44">
      <c r="A44" s="2" t="s">
        <v>52</v>
      </c>
      <c r="B44" s="3">
        <v>43831.0</v>
      </c>
      <c r="C44" s="4" t="s">
        <v>135</v>
      </c>
      <c r="D44" s="4" t="s">
        <v>136</v>
      </c>
      <c r="E44" s="2" t="s">
        <v>130</v>
      </c>
    </row>
    <row r="45">
      <c r="A45" s="2" t="s">
        <v>11</v>
      </c>
      <c r="B45" s="3">
        <v>46097.0</v>
      </c>
      <c r="C45" s="2" t="s">
        <v>137</v>
      </c>
      <c r="D45" s="2" t="s">
        <v>138</v>
      </c>
      <c r="E45" s="2" t="s">
        <v>139</v>
      </c>
    </row>
    <row r="46">
      <c r="A46" s="2" t="s">
        <v>11</v>
      </c>
      <c r="B46" s="3">
        <v>46128.0</v>
      </c>
      <c r="C46" s="2" t="s">
        <v>140</v>
      </c>
      <c r="D46" s="2" t="s">
        <v>141</v>
      </c>
      <c r="E46" s="2" t="s">
        <v>139</v>
      </c>
      <c r="F46" s="2" t="s">
        <v>142</v>
      </c>
    </row>
    <row r="47">
      <c r="A47" s="2" t="s">
        <v>11</v>
      </c>
      <c r="B47" s="3">
        <v>46132.0</v>
      </c>
      <c r="C47" s="8" t="s">
        <v>143</v>
      </c>
      <c r="D47" s="8" t="s">
        <v>144</v>
      </c>
      <c r="E47" s="2" t="s">
        <v>139</v>
      </c>
    </row>
    <row r="48">
      <c r="A48" s="2" t="s">
        <v>11</v>
      </c>
      <c r="B48" s="3">
        <v>46133.0</v>
      </c>
      <c r="C48" s="2" t="s">
        <v>145</v>
      </c>
      <c r="D48" s="2" t="s">
        <v>146</v>
      </c>
      <c r="E48" s="2" t="s">
        <v>139</v>
      </c>
    </row>
    <row r="49">
      <c r="A49" s="2" t="s">
        <v>11</v>
      </c>
      <c r="B49" s="3">
        <v>46141.0</v>
      </c>
      <c r="C49" s="2" t="s">
        <v>147</v>
      </c>
      <c r="D49" s="2" t="s">
        <v>148</v>
      </c>
      <c r="E49" s="2" t="s">
        <v>139</v>
      </c>
      <c r="F49" s="2" t="s">
        <v>149</v>
      </c>
    </row>
    <row r="50">
      <c r="A50" s="2" t="s">
        <v>11</v>
      </c>
      <c r="B50" s="3">
        <v>46181.0</v>
      </c>
      <c r="C50" s="2" t="s">
        <v>150</v>
      </c>
      <c r="D50" s="2" t="s">
        <v>151</v>
      </c>
      <c r="E50" s="2" t="s">
        <v>139</v>
      </c>
      <c r="F50" s="2" t="s">
        <v>152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153</v>
      </c>
    </row>
    <row r="51">
      <c r="A51" s="2" t="s">
        <v>11</v>
      </c>
      <c r="B51" s="3">
        <v>46141.0</v>
      </c>
      <c r="C51" s="4" t="s">
        <v>154</v>
      </c>
      <c r="D51" s="4" t="s">
        <v>148</v>
      </c>
      <c r="E51" s="2" t="s">
        <v>139</v>
      </c>
    </row>
    <row r="52">
      <c r="A52" s="2" t="s">
        <v>52</v>
      </c>
      <c r="B52" s="3">
        <v>46069.0</v>
      </c>
      <c r="C52" s="2" t="s">
        <v>155</v>
      </c>
      <c r="D52" s="2" t="s">
        <v>156</v>
      </c>
      <c r="E52" s="2" t="s">
        <v>139</v>
      </c>
    </row>
    <row r="53">
      <c r="A53" s="2" t="s">
        <v>52</v>
      </c>
      <c r="B53" s="3">
        <v>46085.0</v>
      </c>
      <c r="C53" s="2" t="s">
        <v>157</v>
      </c>
      <c r="D53" s="2" t="s">
        <v>158</v>
      </c>
      <c r="E53" s="2" t="s">
        <v>139</v>
      </c>
    </row>
    <row r="54">
      <c r="A54" s="2" t="s">
        <v>11</v>
      </c>
      <c r="B54" s="3">
        <v>46154.0</v>
      </c>
      <c r="C54" s="2" t="s">
        <v>159</v>
      </c>
      <c r="D54" s="2" t="s">
        <v>160</v>
      </c>
      <c r="E54" s="2" t="s">
        <v>139</v>
      </c>
      <c r="F54" s="2" t="s">
        <v>161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162</v>
      </c>
    </row>
    <row r="55">
      <c r="A55" s="2" t="s">
        <v>11</v>
      </c>
      <c r="B55" s="5">
        <v>46147.0</v>
      </c>
      <c r="C55" s="2" t="s">
        <v>163</v>
      </c>
      <c r="D55" s="2" t="s">
        <v>156</v>
      </c>
      <c r="E55" s="2" t="s">
        <v>139</v>
      </c>
      <c r="F55" s="2" t="s">
        <v>164</v>
      </c>
      <c r="G55" s="2" t="s">
        <v>16</v>
      </c>
      <c r="H55" s="2" t="s">
        <v>17</v>
      </c>
      <c r="I55" s="2" t="s">
        <v>16</v>
      </c>
      <c r="J55" s="2" t="s">
        <v>16</v>
      </c>
      <c r="K55" s="2" t="s">
        <v>18</v>
      </c>
    </row>
    <row r="56">
      <c r="A56" s="2" t="s">
        <v>11</v>
      </c>
      <c r="B56" s="5">
        <v>46153.0</v>
      </c>
      <c r="C56" s="2" t="s">
        <v>165</v>
      </c>
      <c r="D56" s="2" t="s">
        <v>166</v>
      </c>
      <c r="E56" s="2" t="s">
        <v>139</v>
      </c>
      <c r="F56" s="2" t="s">
        <v>167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168</v>
      </c>
    </row>
    <row r="57">
      <c r="A57" s="2" t="s">
        <v>11</v>
      </c>
      <c r="B57" s="5">
        <v>46153.0</v>
      </c>
      <c r="C57" s="2" t="s">
        <v>169</v>
      </c>
      <c r="D57" s="2" t="s">
        <v>170</v>
      </c>
      <c r="E57" s="2" t="s">
        <v>139</v>
      </c>
      <c r="F57" s="2" t="s">
        <v>171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33</v>
      </c>
    </row>
    <row r="58">
      <c r="A58" s="2" t="s">
        <v>52</v>
      </c>
      <c r="B58" s="3">
        <v>46163.0</v>
      </c>
      <c r="C58" s="2" t="s">
        <v>172</v>
      </c>
      <c r="D58" s="2" t="s">
        <v>173</v>
      </c>
      <c r="E58" s="2" t="s">
        <v>174</v>
      </c>
      <c r="F58" s="2" t="s">
        <v>175</v>
      </c>
    </row>
    <row r="59">
      <c r="A59" s="2" t="s">
        <v>11</v>
      </c>
      <c r="B59" s="3">
        <v>46122.0</v>
      </c>
      <c r="C59" s="2" t="s">
        <v>176</v>
      </c>
      <c r="D59" s="2" t="s">
        <v>177</v>
      </c>
      <c r="E59" s="2" t="s">
        <v>178</v>
      </c>
    </row>
    <row r="60">
      <c r="A60" s="2" t="s">
        <v>52</v>
      </c>
      <c r="B60" s="3">
        <v>46163.0</v>
      </c>
      <c r="C60" s="2" t="s">
        <v>179</v>
      </c>
      <c r="D60" s="2" t="s">
        <v>180</v>
      </c>
      <c r="E60" s="2" t="s">
        <v>178</v>
      </c>
      <c r="F60" s="2" t="s">
        <v>175</v>
      </c>
    </row>
    <row r="61">
      <c r="A61" s="2" t="s">
        <v>11</v>
      </c>
      <c r="B61" s="3">
        <v>46125.0</v>
      </c>
      <c r="C61" s="2" t="s">
        <v>181</v>
      </c>
      <c r="D61" s="2" t="s">
        <v>182</v>
      </c>
      <c r="E61" s="2" t="s">
        <v>178</v>
      </c>
    </row>
    <row r="62">
      <c r="A62" s="2" t="s">
        <v>11</v>
      </c>
      <c r="B62" s="3">
        <v>46128.0</v>
      </c>
      <c r="C62" s="2" t="s">
        <v>183</v>
      </c>
      <c r="D62" s="2" t="s">
        <v>184</v>
      </c>
      <c r="E62" s="2" t="s">
        <v>178</v>
      </c>
      <c r="F62" s="2" t="s">
        <v>185</v>
      </c>
    </row>
    <row r="63">
      <c r="A63" s="2" t="s">
        <v>11</v>
      </c>
      <c r="B63" s="3">
        <v>46148.0</v>
      </c>
      <c r="C63" s="2" t="s">
        <v>186</v>
      </c>
      <c r="D63" s="2" t="s">
        <v>187</v>
      </c>
      <c r="E63" s="2" t="s">
        <v>178</v>
      </c>
      <c r="F63" s="2" t="s">
        <v>188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189</v>
      </c>
    </row>
    <row r="64">
      <c r="A64" s="2" t="s">
        <v>52</v>
      </c>
      <c r="B64" s="3">
        <v>46135.0</v>
      </c>
      <c r="C64" s="2" t="s">
        <v>190</v>
      </c>
      <c r="D64" s="2" t="s">
        <v>191</v>
      </c>
      <c r="E64" s="2" t="s">
        <v>178</v>
      </c>
    </row>
    <row r="65">
      <c r="A65" s="2" t="s">
        <v>52</v>
      </c>
      <c r="B65" s="3">
        <v>46135.0</v>
      </c>
      <c r="C65" s="2" t="s">
        <v>192</v>
      </c>
      <c r="D65" s="2" t="s">
        <v>193</v>
      </c>
      <c r="E65" s="2" t="s">
        <v>178</v>
      </c>
      <c r="F65" s="2" t="s">
        <v>194</v>
      </c>
    </row>
    <row r="66">
      <c r="A66" s="2" t="s">
        <v>52</v>
      </c>
      <c r="B66" s="3">
        <v>46135.0</v>
      </c>
      <c r="C66" s="2" t="s">
        <v>195</v>
      </c>
      <c r="D66" s="2" t="s">
        <v>196</v>
      </c>
      <c r="E66" s="2" t="s">
        <v>178</v>
      </c>
      <c r="F66" s="2" t="s">
        <v>197</v>
      </c>
    </row>
    <row r="67">
      <c r="A67" s="2" t="s">
        <v>52</v>
      </c>
      <c r="B67" s="3">
        <v>46135.0</v>
      </c>
      <c r="C67" s="2" t="s">
        <v>198</v>
      </c>
      <c r="D67" s="2" t="s">
        <v>199</v>
      </c>
      <c r="E67" s="2" t="s">
        <v>178</v>
      </c>
    </row>
    <row r="68">
      <c r="A68" s="2" t="s">
        <v>52</v>
      </c>
      <c r="B68" s="3">
        <v>46135.0</v>
      </c>
      <c r="C68" s="4" t="s">
        <v>200</v>
      </c>
      <c r="D68" s="4" t="s">
        <v>201</v>
      </c>
      <c r="E68" s="2" t="s">
        <v>178</v>
      </c>
    </row>
    <row r="69">
      <c r="A69" s="2" t="s">
        <v>52</v>
      </c>
      <c r="B69" s="3">
        <v>43831.0</v>
      </c>
      <c r="C69" s="2" t="s">
        <v>202</v>
      </c>
      <c r="D69" s="2" t="s">
        <v>25</v>
      </c>
      <c r="E69" s="2" t="s">
        <v>178</v>
      </c>
    </row>
    <row r="70">
      <c r="A70" s="2" t="s">
        <v>52</v>
      </c>
      <c r="B70" s="3">
        <v>43831.0</v>
      </c>
      <c r="C70" s="2" t="s">
        <v>203</v>
      </c>
      <c r="D70" s="2" t="s">
        <v>204</v>
      </c>
      <c r="E70" s="2" t="s">
        <v>178</v>
      </c>
    </row>
    <row r="71">
      <c r="A71" s="2" t="s">
        <v>11</v>
      </c>
      <c r="B71" s="5">
        <v>46148.0</v>
      </c>
      <c r="C71" s="2" t="s">
        <v>205</v>
      </c>
      <c r="D71" s="2" t="s">
        <v>206</v>
      </c>
      <c r="E71" s="2" t="s">
        <v>178</v>
      </c>
      <c r="F71" s="2" t="s">
        <v>207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208</v>
      </c>
    </row>
    <row r="72">
      <c r="A72" s="2" t="s">
        <v>11</v>
      </c>
      <c r="B72" s="5">
        <v>46149.0</v>
      </c>
      <c r="C72" s="2" t="s">
        <v>209</v>
      </c>
      <c r="D72" s="2" t="s">
        <v>210</v>
      </c>
      <c r="E72" s="2" t="s">
        <v>178</v>
      </c>
      <c r="F72" s="2" t="s">
        <v>211</v>
      </c>
      <c r="G72" s="2" t="s">
        <v>17</v>
      </c>
      <c r="H72" s="2" t="s">
        <v>17</v>
      </c>
      <c r="I72" s="2" t="s">
        <v>16</v>
      </c>
      <c r="J72" s="2" t="s">
        <v>16</v>
      </c>
      <c r="K72" s="2" t="s">
        <v>212</v>
      </c>
    </row>
    <row r="73">
      <c r="A73" s="2" t="s">
        <v>11</v>
      </c>
      <c r="B73" s="5">
        <v>46153.0</v>
      </c>
      <c r="C73" s="2" t="s">
        <v>213</v>
      </c>
      <c r="D73" s="2" t="s">
        <v>214</v>
      </c>
      <c r="E73" s="2" t="s">
        <v>178</v>
      </c>
      <c r="F73" s="2" t="s">
        <v>215</v>
      </c>
      <c r="G73" s="2" t="s">
        <v>16</v>
      </c>
      <c r="H73" s="2" t="s">
        <v>17</v>
      </c>
      <c r="I73" s="2" t="s">
        <v>16</v>
      </c>
      <c r="J73" s="2" t="s">
        <v>16</v>
      </c>
      <c r="K73" s="2" t="s">
        <v>18</v>
      </c>
    </row>
    <row r="74">
      <c r="A74" s="2" t="s">
        <v>52</v>
      </c>
      <c r="B74" s="5">
        <v>46163.0</v>
      </c>
      <c r="C74" s="2" t="s">
        <v>216</v>
      </c>
      <c r="D74" s="2" t="s">
        <v>217</v>
      </c>
      <c r="E74" s="2" t="s">
        <v>178</v>
      </c>
      <c r="F74" s="2" t="s">
        <v>175</v>
      </c>
    </row>
    <row r="75">
      <c r="A75" s="2" t="s">
        <v>52</v>
      </c>
      <c r="B75" s="3">
        <v>46128.0</v>
      </c>
      <c r="C75" s="2" t="s">
        <v>218</v>
      </c>
      <c r="D75" s="2" t="s">
        <v>219</v>
      </c>
      <c r="E75" s="2" t="s">
        <v>220</v>
      </c>
    </row>
    <row r="76">
      <c r="A76" s="2" t="s">
        <v>52</v>
      </c>
      <c r="B76" s="3">
        <v>46154.0</v>
      </c>
      <c r="C76" s="2" t="s">
        <v>221</v>
      </c>
      <c r="D76" s="2" t="s">
        <v>222</v>
      </c>
      <c r="E76" s="2" t="s">
        <v>220</v>
      </c>
    </row>
    <row r="77">
      <c r="A77" s="2" t="s">
        <v>52</v>
      </c>
      <c r="B77" s="3">
        <v>46128.0</v>
      </c>
      <c r="C77" s="2" t="s">
        <v>223</v>
      </c>
      <c r="D77" s="2" t="s">
        <v>224</v>
      </c>
      <c r="E77" s="2" t="s">
        <v>220</v>
      </c>
    </row>
    <row r="78">
      <c r="A78" s="2" t="s">
        <v>52</v>
      </c>
      <c r="B78" s="3">
        <v>46128.0</v>
      </c>
      <c r="C78" s="2" t="s">
        <v>225</v>
      </c>
      <c r="D78" s="2" t="s">
        <v>226</v>
      </c>
      <c r="E78" s="2" t="s">
        <v>220</v>
      </c>
    </row>
    <row r="79">
      <c r="A79" s="2" t="s">
        <v>52</v>
      </c>
      <c r="B79" s="3">
        <v>46128.0</v>
      </c>
      <c r="C79" s="2" t="s">
        <v>227</v>
      </c>
      <c r="D79" s="2" t="s">
        <v>228</v>
      </c>
      <c r="E79" s="2" t="s">
        <v>220</v>
      </c>
    </row>
    <row r="80">
      <c r="A80" s="2" t="s">
        <v>52</v>
      </c>
      <c r="B80" s="3">
        <v>46128.0</v>
      </c>
      <c r="C80" s="2" t="s">
        <v>229</v>
      </c>
      <c r="D80" s="2" t="s">
        <v>230</v>
      </c>
      <c r="E80" s="2" t="s">
        <v>220</v>
      </c>
    </row>
    <row r="81">
      <c r="A81" s="2" t="s">
        <v>52</v>
      </c>
      <c r="B81" s="3">
        <v>46155.0</v>
      </c>
      <c r="C81" s="2" t="s">
        <v>231</v>
      </c>
      <c r="D81" s="2" t="s">
        <v>232</v>
      </c>
      <c r="E81" s="2" t="s">
        <v>220</v>
      </c>
    </row>
    <row r="82">
      <c r="A82" s="2" t="s">
        <v>52</v>
      </c>
      <c r="B82" s="3">
        <v>46136.0</v>
      </c>
      <c r="C82" s="2" t="s">
        <v>233</v>
      </c>
      <c r="D82" s="2" t="s">
        <v>234</v>
      </c>
      <c r="E82" s="2" t="s">
        <v>220</v>
      </c>
    </row>
    <row r="83">
      <c r="A83" s="6" t="s">
        <v>52</v>
      </c>
      <c r="B83" s="9">
        <v>46160.0</v>
      </c>
      <c r="C83" s="4" t="s">
        <v>235</v>
      </c>
      <c r="D83" s="4" t="s">
        <v>236</v>
      </c>
      <c r="E83" s="2" t="s">
        <v>220</v>
      </c>
    </row>
    <row r="84">
      <c r="A84" s="2" t="s">
        <v>52</v>
      </c>
      <c r="B84" s="3">
        <v>46154.0</v>
      </c>
      <c r="C84" s="4" t="s">
        <v>237</v>
      </c>
      <c r="D84" s="4" t="s">
        <v>238</v>
      </c>
      <c r="E84" s="2" t="s">
        <v>220</v>
      </c>
    </row>
    <row r="85">
      <c r="B85" s="5">
        <v>46155.0</v>
      </c>
      <c r="C85" s="4" t="s">
        <v>239</v>
      </c>
      <c r="D85" s="4" t="s">
        <v>240</v>
      </c>
      <c r="E85" s="2" t="s">
        <v>220</v>
      </c>
    </row>
    <row r="86">
      <c r="A86" s="2" t="s">
        <v>52</v>
      </c>
      <c r="B86" s="3">
        <v>46154.0</v>
      </c>
      <c r="C86" s="4" t="s">
        <v>241</v>
      </c>
      <c r="D86" s="4" t="s">
        <v>144</v>
      </c>
      <c r="E86" s="2" t="s">
        <v>220</v>
      </c>
    </row>
    <row r="87">
      <c r="A87" s="6" t="s">
        <v>52</v>
      </c>
      <c r="B87" s="10">
        <v>46154.0</v>
      </c>
      <c r="C87" s="4" t="s">
        <v>242</v>
      </c>
      <c r="D87" s="4" t="s">
        <v>243</v>
      </c>
      <c r="E87" s="2" t="s">
        <v>220</v>
      </c>
    </row>
    <row r="88">
      <c r="A88" s="2" t="s">
        <v>52</v>
      </c>
      <c r="B88" s="5">
        <v>46160.0</v>
      </c>
      <c r="C88" s="4" t="s">
        <v>244</v>
      </c>
      <c r="D88" s="4" t="s">
        <v>245</v>
      </c>
      <c r="E88" s="2" t="s">
        <v>220</v>
      </c>
    </row>
    <row r="89">
      <c r="A89" s="2" t="s">
        <v>11</v>
      </c>
      <c r="B89" s="3">
        <v>46126.0</v>
      </c>
      <c r="C89" s="2" t="s">
        <v>246</v>
      </c>
      <c r="D89" s="2" t="s">
        <v>247</v>
      </c>
      <c r="E89" s="2" t="s">
        <v>248</v>
      </c>
      <c r="F89" s="2" t="s">
        <v>249</v>
      </c>
    </row>
    <row r="90">
      <c r="A90" s="2" t="s">
        <v>11</v>
      </c>
      <c r="B90" s="3">
        <v>46183.0</v>
      </c>
      <c r="C90" s="2" t="s">
        <v>250</v>
      </c>
      <c r="D90" s="2" t="s">
        <v>251</v>
      </c>
      <c r="E90" s="2" t="s">
        <v>248</v>
      </c>
      <c r="F90" s="2" t="s">
        <v>252</v>
      </c>
      <c r="G90" s="2" t="s">
        <v>16</v>
      </c>
      <c r="H90" s="2" t="s">
        <v>17</v>
      </c>
      <c r="I90" s="2" t="s">
        <v>16</v>
      </c>
      <c r="J90" s="2" t="s">
        <v>16</v>
      </c>
      <c r="K90" s="2" t="s">
        <v>253</v>
      </c>
    </row>
    <row r="91">
      <c r="A91" s="2" t="s">
        <v>52</v>
      </c>
      <c r="B91" s="3">
        <v>46105.0</v>
      </c>
      <c r="C91" s="4" t="s">
        <v>254</v>
      </c>
      <c r="D91" s="4" t="s">
        <v>255</v>
      </c>
      <c r="E91" s="2" t="s">
        <v>248</v>
      </c>
    </row>
    <row r="92">
      <c r="A92" s="2" t="s">
        <v>11</v>
      </c>
      <c r="B92" s="5">
        <v>46183.0</v>
      </c>
      <c r="C92" s="2" t="s">
        <v>256</v>
      </c>
      <c r="D92" s="2" t="s">
        <v>257</v>
      </c>
      <c r="E92" s="2" t="s">
        <v>248</v>
      </c>
      <c r="F92" s="2" t="s">
        <v>258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153</v>
      </c>
    </row>
    <row r="93">
      <c r="C93" s="4" t="s">
        <v>259</v>
      </c>
      <c r="D93" s="4" t="s">
        <v>260</v>
      </c>
      <c r="E93" s="2" t="s">
        <v>248</v>
      </c>
      <c r="F93" s="2" t="s">
        <v>261</v>
      </c>
    </row>
    <row r="94">
      <c r="B94" s="5"/>
      <c r="C94" s="4" t="s">
        <v>262</v>
      </c>
      <c r="D94" s="4" t="s">
        <v>263</v>
      </c>
      <c r="E94" s="2" t="s">
        <v>248</v>
      </c>
    </row>
    <row r="95">
      <c r="A95" s="2" t="s">
        <v>11</v>
      </c>
      <c r="B95" s="3">
        <v>46122.0</v>
      </c>
      <c r="C95" s="2" t="s">
        <v>264</v>
      </c>
      <c r="D95" s="2" t="s">
        <v>265</v>
      </c>
      <c r="E95" s="2" t="s">
        <v>266</v>
      </c>
    </row>
    <row r="96">
      <c r="A96" s="2" t="s">
        <v>11</v>
      </c>
      <c r="B96" s="3">
        <v>46122.0</v>
      </c>
      <c r="C96" s="2" t="s">
        <v>267</v>
      </c>
      <c r="D96" s="2" t="s">
        <v>268</v>
      </c>
      <c r="E96" s="2" t="s">
        <v>266</v>
      </c>
    </row>
    <row r="97">
      <c r="A97" s="2" t="s">
        <v>11</v>
      </c>
      <c r="B97" s="3">
        <v>46128.0</v>
      </c>
      <c r="C97" s="2" t="s">
        <v>269</v>
      </c>
      <c r="D97" s="2" t="s">
        <v>270</v>
      </c>
      <c r="E97" s="2" t="s">
        <v>266</v>
      </c>
      <c r="F97" s="2" t="s">
        <v>271</v>
      </c>
    </row>
    <row r="98">
      <c r="A98" s="2" t="s">
        <v>11</v>
      </c>
      <c r="B98" s="3">
        <v>46160.0</v>
      </c>
      <c r="C98" s="2" t="s">
        <v>272</v>
      </c>
      <c r="D98" s="2" t="s">
        <v>273</v>
      </c>
      <c r="E98" s="2" t="s">
        <v>266</v>
      </c>
      <c r="F98" s="2" t="s">
        <v>274</v>
      </c>
      <c r="G98" s="2" t="s">
        <v>16</v>
      </c>
      <c r="H98" s="2" t="s">
        <v>17</v>
      </c>
      <c r="I98" s="2" t="s">
        <v>16</v>
      </c>
      <c r="J98" s="2" t="s">
        <v>16</v>
      </c>
      <c r="K98" s="2" t="s">
        <v>275</v>
      </c>
    </row>
    <row r="99">
      <c r="A99" s="2" t="s">
        <v>11</v>
      </c>
      <c r="B99" s="3">
        <v>46135.0</v>
      </c>
      <c r="C99" s="4" t="s">
        <v>276</v>
      </c>
      <c r="D99" s="4" t="s">
        <v>277</v>
      </c>
      <c r="E99" s="2" t="s">
        <v>266</v>
      </c>
    </row>
    <row r="100">
      <c r="A100" s="2" t="s">
        <v>11</v>
      </c>
      <c r="B100" s="3">
        <v>46136.0</v>
      </c>
      <c r="C100" s="4" t="s">
        <v>278</v>
      </c>
      <c r="D100" s="4" t="s">
        <v>279</v>
      </c>
      <c r="E100" s="2" t="s">
        <v>266</v>
      </c>
      <c r="F100" s="2" t="s">
        <v>280</v>
      </c>
    </row>
    <row r="101">
      <c r="A101" s="2" t="s">
        <v>52</v>
      </c>
      <c r="B101" s="3">
        <v>46090.0</v>
      </c>
      <c r="C101" s="2" t="s">
        <v>281</v>
      </c>
      <c r="D101" s="2" t="s">
        <v>282</v>
      </c>
      <c r="E101" s="2" t="s">
        <v>266</v>
      </c>
    </row>
    <row r="102">
      <c r="A102" s="2" t="s">
        <v>52</v>
      </c>
      <c r="B102" s="3">
        <v>46090.0</v>
      </c>
      <c r="C102" s="2" t="s">
        <v>283</v>
      </c>
      <c r="D102" s="2" t="s">
        <v>284</v>
      </c>
      <c r="E102" s="2" t="s">
        <v>266</v>
      </c>
    </row>
    <row r="103">
      <c r="A103" s="2" t="s">
        <v>11</v>
      </c>
      <c r="B103" s="5">
        <v>46160.0</v>
      </c>
      <c r="C103" s="2" t="s">
        <v>285</v>
      </c>
      <c r="D103" s="2" t="s">
        <v>286</v>
      </c>
      <c r="E103" s="2" t="s">
        <v>266</v>
      </c>
      <c r="F103" s="2" t="s">
        <v>287</v>
      </c>
      <c r="G103" s="2" t="s">
        <v>17</v>
      </c>
      <c r="H103" s="2" t="s">
        <v>17</v>
      </c>
      <c r="I103" s="2" t="s">
        <v>16</v>
      </c>
      <c r="J103" s="2" t="s">
        <v>16</v>
      </c>
      <c r="K103" s="2" t="s">
        <v>288</v>
      </c>
    </row>
    <row r="104">
      <c r="A104" s="2" t="s">
        <v>11</v>
      </c>
      <c r="B104" s="5">
        <v>46094.0</v>
      </c>
      <c r="C104" s="2" t="s">
        <v>289</v>
      </c>
      <c r="D104" s="2" t="s">
        <v>290</v>
      </c>
      <c r="E104" s="2" t="s">
        <v>266</v>
      </c>
    </row>
    <row r="105">
      <c r="A105" s="2" t="s">
        <v>11</v>
      </c>
      <c r="B105" s="3">
        <v>46126.0</v>
      </c>
      <c r="C105" s="2" t="s">
        <v>291</v>
      </c>
      <c r="D105" s="2" t="s">
        <v>292</v>
      </c>
      <c r="E105" s="2" t="s">
        <v>293</v>
      </c>
    </row>
    <row r="106">
      <c r="A106" s="2" t="s">
        <v>11</v>
      </c>
      <c r="B106" s="3">
        <v>46134.0</v>
      </c>
      <c r="C106" s="2" t="s">
        <v>294</v>
      </c>
      <c r="D106" s="2" t="s">
        <v>295</v>
      </c>
      <c r="E106" s="2" t="s">
        <v>293</v>
      </c>
    </row>
    <row r="107">
      <c r="A107" s="2" t="s">
        <v>52</v>
      </c>
      <c r="B107" s="3">
        <v>46078.0</v>
      </c>
      <c r="C107" s="2" t="s">
        <v>296</v>
      </c>
      <c r="D107" s="2" t="s">
        <v>297</v>
      </c>
      <c r="E107" s="2" t="s">
        <v>293</v>
      </c>
    </row>
    <row r="108">
      <c r="A108" s="2" t="s">
        <v>11</v>
      </c>
      <c r="B108" s="5">
        <v>46150.0</v>
      </c>
      <c r="C108" s="2" t="s">
        <v>298</v>
      </c>
      <c r="D108" s="2" t="s">
        <v>299</v>
      </c>
      <c r="E108" s="2" t="s">
        <v>293</v>
      </c>
      <c r="F108" s="2" t="s">
        <v>300</v>
      </c>
      <c r="K108" s="2" t="s">
        <v>301</v>
      </c>
    </row>
    <row r="109">
      <c r="A109" s="2" t="s">
        <v>11</v>
      </c>
      <c r="B109" s="5">
        <v>46163.0</v>
      </c>
      <c r="C109" s="2" t="s">
        <v>302</v>
      </c>
      <c r="D109" s="2" t="s">
        <v>303</v>
      </c>
      <c r="E109" s="2" t="s">
        <v>293</v>
      </c>
      <c r="F109" s="2" t="s">
        <v>304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33</v>
      </c>
    </row>
    <row r="110">
      <c r="A110" s="2" t="s">
        <v>11</v>
      </c>
      <c r="B110" s="3">
        <v>46150.0</v>
      </c>
      <c r="C110" s="2" t="s">
        <v>305</v>
      </c>
      <c r="D110" s="2" t="s">
        <v>306</v>
      </c>
      <c r="E110" s="2" t="s">
        <v>307</v>
      </c>
      <c r="F110" s="2" t="s">
        <v>308</v>
      </c>
      <c r="G110" s="2" t="s">
        <v>16</v>
      </c>
      <c r="H110" s="2" t="s">
        <v>17</v>
      </c>
      <c r="I110" s="2" t="s">
        <v>16</v>
      </c>
      <c r="J110" s="2" t="s">
        <v>16</v>
      </c>
      <c r="K110" s="2" t="s">
        <v>309</v>
      </c>
    </row>
    <row r="111">
      <c r="A111" s="2" t="s">
        <v>52</v>
      </c>
      <c r="B111" s="3">
        <v>46154.0</v>
      </c>
      <c r="C111" s="2" t="s">
        <v>310</v>
      </c>
      <c r="D111" s="2" t="s">
        <v>311</v>
      </c>
      <c r="E111" s="2" t="s">
        <v>307</v>
      </c>
      <c r="F111" s="2" t="s">
        <v>312</v>
      </c>
      <c r="K111" s="2" t="s">
        <v>313</v>
      </c>
    </row>
    <row r="112">
      <c r="C112" s="4" t="s">
        <v>314</v>
      </c>
      <c r="D112" s="4" t="s">
        <v>315</v>
      </c>
      <c r="E112" s="2" t="s">
        <v>307</v>
      </c>
    </row>
    <row r="113">
      <c r="A113" s="6" t="s">
        <v>52</v>
      </c>
      <c r="B113" s="5">
        <v>46160.0</v>
      </c>
      <c r="C113" s="4" t="s">
        <v>316</v>
      </c>
      <c r="D113" s="4" t="s">
        <v>317</v>
      </c>
      <c r="E113" s="2" t="s">
        <v>307</v>
      </c>
    </row>
    <row r="114">
      <c r="C114" s="4" t="s">
        <v>318</v>
      </c>
      <c r="D114" s="4" t="s">
        <v>319</v>
      </c>
      <c r="E114" s="2" t="s">
        <v>307</v>
      </c>
    </row>
    <row r="115">
      <c r="A115" s="2" t="s">
        <v>52</v>
      </c>
      <c r="B115" s="3">
        <v>46126.0</v>
      </c>
      <c r="C115" s="2" t="s">
        <v>320</v>
      </c>
      <c r="D115" s="2" t="s">
        <v>321</v>
      </c>
      <c r="E115" s="2" t="s">
        <v>322</v>
      </c>
    </row>
    <row r="116">
      <c r="A116" s="2" t="s">
        <v>52</v>
      </c>
      <c r="B116" s="3">
        <v>46160.0</v>
      </c>
      <c r="C116" s="2" t="s">
        <v>323</v>
      </c>
      <c r="D116" s="2" t="s">
        <v>324</v>
      </c>
      <c r="E116" s="2" t="s">
        <v>322</v>
      </c>
      <c r="K116" s="2" t="s">
        <v>325</v>
      </c>
    </row>
    <row r="117">
      <c r="A117" s="2" t="s">
        <v>52</v>
      </c>
      <c r="B117" s="3">
        <v>46153.0</v>
      </c>
      <c r="C117" s="2" t="s">
        <v>326</v>
      </c>
      <c r="D117" s="2" t="s">
        <v>327</v>
      </c>
      <c r="E117" s="2" t="s">
        <v>322</v>
      </c>
    </row>
    <row r="118">
      <c r="A118" s="2" t="s">
        <v>52</v>
      </c>
      <c r="B118" s="3">
        <v>46126.0</v>
      </c>
      <c r="C118" s="2" t="s">
        <v>328</v>
      </c>
      <c r="D118" s="2" t="s">
        <v>329</v>
      </c>
      <c r="E118" s="2" t="s">
        <v>322</v>
      </c>
    </row>
    <row r="119">
      <c r="A119" s="2" t="s">
        <v>52</v>
      </c>
      <c r="B119" s="3">
        <v>46126.0</v>
      </c>
      <c r="C119" s="2" t="s">
        <v>330</v>
      </c>
      <c r="D119" s="2" t="s">
        <v>331</v>
      </c>
      <c r="E119" s="2" t="s">
        <v>322</v>
      </c>
    </row>
    <row r="120">
      <c r="A120" s="2" t="s">
        <v>52</v>
      </c>
      <c r="B120" s="3">
        <v>46126.0</v>
      </c>
      <c r="C120" s="2" t="s">
        <v>332</v>
      </c>
      <c r="D120" s="2" t="s">
        <v>333</v>
      </c>
      <c r="E120" s="2" t="s">
        <v>322</v>
      </c>
    </row>
    <row r="121">
      <c r="A121" s="2" t="s">
        <v>52</v>
      </c>
      <c r="B121" s="3">
        <v>46136.0</v>
      </c>
      <c r="C121" s="4" t="s">
        <v>334</v>
      </c>
      <c r="D121" s="4" t="s">
        <v>335</v>
      </c>
      <c r="E121" s="2" t="s">
        <v>322</v>
      </c>
    </row>
    <row r="122">
      <c r="A122" s="2" t="s">
        <v>52</v>
      </c>
      <c r="B122" s="3">
        <v>46153.0</v>
      </c>
      <c r="C122" s="11" t="s">
        <v>336</v>
      </c>
      <c r="D122" s="4" t="s">
        <v>337</v>
      </c>
      <c r="E122" s="2" t="s">
        <v>322</v>
      </c>
    </row>
    <row r="123">
      <c r="A123" s="2" t="s">
        <v>52</v>
      </c>
      <c r="B123" s="3">
        <v>46153.0</v>
      </c>
      <c r="C123" s="4" t="s">
        <v>338</v>
      </c>
      <c r="D123" s="4" t="s">
        <v>339</v>
      </c>
      <c r="E123" s="2" t="s">
        <v>322</v>
      </c>
    </row>
    <row r="124">
      <c r="A124" s="2" t="s">
        <v>52</v>
      </c>
      <c r="B124" s="3">
        <v>46153.0</v>
      </c>
      <c r="C124" s="4" t="s">
        <v>340</v>
      </c>
      <c r="D124" s="4" t="s">
        <v>341</v>
      </c>
      <c r="E124" s="2" t="s">
        <v>322</v>
      </c>
    </row>
    <row r="125">
      <c r="A125" s="2" t="s">
        <v>52</v>
      </c>
      <c r="B125" s="5">
        <v>46163.0</v>
      </c>
      <c r="C125" s="2" t="s">
        <v>342</v>
      </c>
      <c r="D125" s="2" t="s">
        <v>343</v>
      </c>
      <c r="E125" s="2" t="s">
        <v>322</v>
      </c>
      <c r="F125" s="2" t="s">
        <v>175</v>
      </c>
    </row>
    <row r="126">
      <c r="A126" s="8" t="s">
        <v>52</v>
      </c>
      <c r="B126" s="12">
        <v>46150.0</v>
      </c>
      <c r="C126" s="2" t="s">
        <v>344</v>
      </c>
      <c r="D126" s="2" t="s">
        <v>345</v>
      </c>
      <c r="E126" s="2" t="s">
        <v>346</v>
      </c>
    </row>
    <row r="127">
      <c r="A127" s="8" t="s">
        <v>52</v>
      </c>
      <c r="B127" s="12">
        <v>46150.0</v>
      </c>
      <c r="C127" s="2" t="s">
        <v>347</v>
      </c>
      <c r="D127" s="2" t="s">
        <v>348</v>
      </c>
      <c r="E127" s="2" t="s">
        <v>346</v>
      </c>
    </row>
    <row r="128">
      <c r="A128" s="2" t="s">
        <v>11</v>
      </c>
      <c r="B128" s="3">
        <v>46120.0</v>
      </c>
      <c r="C128" s="2" t="s">
        <v>349</v>
      </c>
      <c r="D128" s="2" t="s">
        <v>350</v>
      </c>
      <c r="E128" s="2" t="s">
        <v>346</v>
      </c>
    </row>
    <row r="129">
      <c r="A129" s="2" t="s">
        <v>11</v>
      </c>
      <c r="B129" s="3">
        <v>46120.0</v>
      </c>
      <c r="C129" s="2" t="s">
        <v>351</v>
      </c>
      <c r="D129" s="2" t="s">
        <v>352</v>
      </c>
      <c r="E129" s="2" t="s">
        <v>346</v>
      </c>
    </row>
    <row r="130">
      <c r="A130" s="2" t="s">
        <v>11</v>
      </c>
      <c r="B130" s="3">
        <v>46120.0</v>
      </c>
      <c r="C130" s="2" t="s">
        <v>353</v>
      </c>
      <c r="D130" s="2" t="s">
        <v>354</v>
      </c>
      <c r="E130" s="2" t="s">
        <v>346</v>
      </c>
    </row>
    <row r="131">
      <c r="A131" s="2" t="s">
        <v>11</v>
      </c>
      <c r="B131" s="3">
        <v>46132.0</v>
      </c>
      <c r="C131" s="2" t="s">
        <v>355</v>
      </c>
      <c r="D131" s="2" t="s">
        <v>356</v>
      </c>
      <c r="E131" s="2" t="s">
        <v>346</v>
      </c>
    </row>
    <row r="132">
      <c r="A132" s="2" t="s">
        <v>11</v>
      </c>
      <c r="B132" s="3">
        <v>46132.0</v>
      </c>
      <c r="C132" s="8" t="s">
        <v>357</v>
      </c>
      <c r="D132" s="8" t="s">
        <v>358</v>
      </c>
      <c r="E132" s="2" t="s">
        <v>346</v>
      </c>
    </row>
    <row r="133">
      <c r="A133" s="2" t="s">
        <v>11</v>
      </c>
      <c r="B133" s="3">
        <v>46132.0</v>
      </c>
      <c r="C133" s="8" t="s">
        <v>359</v>
      </c>
      <c r="D133" s="8" t="s">
        <v>360</v>
      </c>
      <c r="E133" s="2" t="s">
        <v>346</v>
      </c>
    </row>
    <row r="134">
      <c r="A134" s="2" t="s">
        <v>11</v>
      </c>
      <c r="B134" s="3">
        <v>46182.0</v>
      </c>
      <c r="C134" s="2" t="s">
        <v>361</v>
      </c>
      <c r="D134" s="2" t="s">
        <v>362</v>
      </c>
      <c r="E134" s="2" t="s">
        <v>346</v>
      </c>
      <c r="F134" s="2" t="s">
        <v>363</v>
      </c>
      <c r="G134" s="2" t="s">
        <v>16</v>
      </c>
      <c r="H134" s="2" t="s">
        <v>16</v>
      </c>
      <c r="I134" s="2" t="s">
        <v>16</v>
      </c>
      <c r="J134" s="2" t="s">
        <v>16</v>
      </c>
      <c r="K134" s="2" t="s">
        <v>364</v>
      </c>
    </row>
    <row r="135">
      <c r="A135" s="2" t="s">
        <v>52</v>
      </c>
      <c r="B135" s="3">
        <v>46129.0</v>
      </c>
      <c r="C135" s="2" t="s">
        <v>365</v>
      </c>
      <c r="D135" s="2" t="s">
        <v>366</v>
      </c>
      <c r="E135" s="2" t="s">
        <v>346</v>
      </c>
    </row>
    <row r="136">
      <c r="A136" s="2" t="s">
        <v>52</v>
      </c>
      <c r="B136" s="3">
        <v>46149.0</v>
      </c>
      <c r="C136" s="2" t="s">
        <v>367</v>
      </c>
      <c r="D136" s="2" t="s">
        <v>368</v>
      </c>
      <c r="E136" s="2" t="s">
        <v>346</v>
      </c>
    </row>
    <row r="137">
      <c r="A137" s="2" t="s">
        <v>52</v>
      </c>
      <c r="B137" s="3">
        <v>46129.0</v>
      </c>
      <c r="C137" s="2" t="s">
        <v>369</v>
      </c>
      <c r="D137" s="2" t="s">
        <v>370</v>
      </c>
      <c r="E137" s="2" t="s">
        <v>346</v>
      </c>
    </row>
    <row r="138">
      <c r="A138" s="2" t="s">
        <v>52</v>
      </c>
      <c r="B138" s="3">
        <v>46129.0</v>
      </c>
      <c r="C138" s="2" t="s">
        <v>371</v>
      </c>
      <c r="D138" s="2" t="s">
        <v>372</v>
      </c>
      <c r="E138" s="2" t="s">
        <v>346</v>
      </c>
    </row>
    <row r="139">
      <c r="A139" s="2" t="s">
        <v>52</v>
      </c>
      <c r="B139" s="3">
        <v>46129.0</v>
      </c>
      <c r="C139" s="2" t="s">
        <v>373</v>
      </c>
      <c r="D139" s="2" t="s">
        <v>374</v>
      </c>
      <c r="E139" s="2" t="s">
        <v>346</v>
      </c>
    </row>
    <row r="140">
      <c r="A140" s="2" t="s">
        <v>52</v>
      </c>
      <c r="B140" s="3">
        <v>46129.0</v>
      </c>
      <c r="C140" s="2" t="s">
        <v>375</v>
      </c>
      <c r="D140" s="2" t="s">
        <v>376</v>
      </c>
      <c r="E140" s="2" t="s">
        <v>346</v>
      </c>
    </row>
    <row r="141">
      <c r="A141" s="2" t="s">
        <v>52</v>
      </c>
      <c r="B141" s="3">
        <v>46129.0</v>
      </c>
      <c r="C141" s="2" t="s">
        <v>377</v>
      </c>
      <c r="D141" s="2" t="s">
        <v>378</v>
      </c>
      <c r="E141" s="2" t="s">
        <v>346</v>
      </c>
    </row>
    <row r="142">
      <c r="A142" s="2" t="s">
        <v>52</v>
      </c>
      <c r="B142" s="3">
        <v>46129.0</v>
      </c>
      <c r="C142" s="2" t="s">
        <v>379</v>
      </c>
      <c r="D142" s="2" t="s">
        <v>380</v>
      </c>
      <c r="E142" s="2" t="s">
        <v>346</v>
      </c>
    </row>
    <row r="143">
      <c r="A143" s="2" t="s">
        <v>52</v>
      </c>
      <c r="B143" s="3">
        <v>46149.0</v>
      </c>
      <c r="C143" s="2" t="s">
        <v>381</v>
      </c>
      <c r="D143" s="2" t="s">
        <v>382</v>
      </c>
      <c r="E143" s="2" t="s">
        <v>346</v>
      </c>
      <c r="K143" s="2" t="s">
        <v>383</v>
      </c>
    </row>
    <row r="144">
      <c r="A144" s="2" t="s">
        <v>52</v>
      </c>
      <c r="B144" s="3">
        <v>46149.0</v>
      </c>
      <c r="C144" s="2" t="s">
        <v>384</v>
      </c>
      <c r="D144" s="2" t="s">
        <v>385</v>
      </c>
      <c r="E144" s="2" t="s">
        <v>346</v>
      </c>
    </row>
    <row r="145">
      <c r="A145" s="2" t="s">
        <v>11</v>
      </c>
      <c r="B145" s="3">
        <v>46147.0</v>
      </c>
      <c r="C145" s="2" t="s">
        <v>386</v>
      </c>
      <c r="D145" s="2" t="s">
        <v>387</v>
      </c>
      <c r="E145" s="2" t="s">
        <v>346</v>
      </c>
      <c r="F145" s="2" t="s">
        <v>388</v>
      </c>
      <c r="G145" s="2" t="s">
        <v>16</v>
      </c>
      <c r="H145" s="2" t="s">
        <v>16</v>
      </c>
      <c r="I145" s="2" t="s">
        <v>16</v>
      </c>
      <c r="J145" s="2" t="s">
        <v>16</v>
      </c>
      <c r="K145" s="2" t="s">
        <v>389</v>
      </c>
    </row>
    <row r="146">
      <c r="A146" s="2" t="s">
        <v>52</v>
      </c>
      <c r="B146" s="3">
        <v>45978.0</v>
      </c>
      <c r="C146" s="2" t="s">
        <v>390</v>
      </c>
      <c r="D146" s="2" t="s">
        <v>391</v>
      </c>
      <c r="E146" s="2" t="s">
        <v>346</v>
      </c>
    </row>
    <row r="147">
      <c r="A147" s="2" t="s">
        <v>11</v>
      </c>
      <c r="B147" s="3">
        <v>46147.0</v>
      </c>
      <c r="C147" s="2" t="s">
        <v>392</v>
      </c>
      <c r="D147" s="2" t="s">
        <v>393</v>
      </c>
      <c r="E147" s="2" t="s">
        <v>346</v>
      </c>
      <c r="F147" s="2" t="s">
        <v>394</v>
      </c>
      <c r="G147" s="2" t="s">
        <v>16</v>
      </c>
      <c r="H147" s="2" t="s">
        <v>16</v>
      </c>
      <c r="I147" s="2" t="s">
        <v>16</v>
      </c>
      <c r="J147" s="2" t="s">
        <v>16</v>
      </c>
      <c r="K147" s="2" t="s">
        <v>395</v>
      </c>
    </row>
    <row r="148">
      <c r="A148" s="2" t="s">
        <v>52</v>
      </c>
      <c r="B148" s="3">
        <v>46136.0</v>
      </c>
      <c r="C148" s="2" t="s">
        <v>396</v>
      </c>
      <c r="D148" s="2" t="s">
        <v>397</v>
      </c>
      <c r="E148" s="2" t="s">
        <v>346</v>
      </c>
    </row>
    <row r="149">
      <c r="A149" s="2" t="s">
        <v>52</v>
      </c>
      <c r="B149" s="3">
        <v>43831.0</v>
      </c>
      <c r="C149" s="2" t="s">
        <v>398</v>
      </c>
      <c r="D149" s="2" t="s">
        <v>399</v>
      </c>
      <c r="E149" s="2" t="s">
        <v>346</v>
      </c>
    </row>
    <row r="150">
      <c r="C150" s="8" t="s">
        <v>400</v>
      </c>
      <c r="D150" s="8" t="s">
        <v>401</v>
      </c>
      <c r="E150" s="2" t="s">
        <v>346</v>
      </c>
    </row>
    <row r="151">
      <c r="A151" s="2" t="s">
        <v>52</v>
      </c>
      <c r="B151" s="5">
        <v>46150.0</v>
      </c>
      <c r="C151" s="8" t="s">
        <v>402</v>
      </c>
      <c r="D151" s="8" t="s">
        <v>403</v>
      </c>
      <c r="E151" s="2" t="s">
        <v>346</v>
      </c>
    </row>
    <row r="152">
      <c r="A152" s="2" t="s">
        <v>52</v>
      </c>
      <c r="B152" s="5">
        <v>46148.0</v>
      </c>
      <c r="C152" s="8" t="s">
        <v>404</v>
      </c>
      <c r="D152" s="8" t="s">
        <v>405</v>
      </c>
      <c r="E152" s="2" t="s">
        <v>346</v>
      </c>
    </row>
    <row r="153">
      <c r="C153" s="8" t="s">
        <v>406</v>
      </c>
      <c r="D153" s="8" t="s">
        <v>407</v>
      </c>
      <c r="E153" s="2" t="s">
        <v>346</v>
      </c>
    </row>
    <row r="154">
      <c r="A154" s="2" t="s">
        <v>52</v>
      </c>
      <c r="B154" s="5">
        <v>46148.0</v>
      </c>
      <c r="C154" s="8" t="s">
        <v>408</v>
      </c>
      <c r="D154" s="8" t="s">
        <v>409</v>
      </c>
      <c r="E154" s="2" t="s">
        <v>346</v>
      </c>
    </row>
    <row r="155">
      <c r="A155" s="6" t="s">
        <v>52</v>
      </c>
      <c r="B155" s="12">
        <v>46150.0</v>
      </c>
      <c r="C155" s="4" t="s">
        <v>410</v>
      </c>
      <c r="D155" s="4" t="s">
        <v>411</v>
      </c>
      <c r="E155" s="2" t="s">
        <v>346</v>
      </c>
    </row>
    <row r="156">
      <c r="A156" s="2" t="s">
        <v>52</v>
      </c>
      <c r="B156" s="5">
        <v>46150.0</v>
      </c>
      <c r="C156" s="4" t="s">
        <v>412</v>
      </c>
      <c r="D156" s="4" t="s">
        <v>413</v>
      </c>
      <c r="E156" s="2" t="s">
        <v>346</v>
      </c>
    </row>
    <row r="157">
      <c r="A157" s="2" t="s">
        <v>52</v>
      </c>
      <c r="B157" s="5">
        <v>46149.0</v>
      </c>
      <c r="C157" s="7" t="s">
        <v>414</v>
      </c>
      <c r="D157" s="13" t="s">
        <v>415</v>
      </c>
      <c r="E157" s="2" t="s">
        <v>346</v>
      </c>
    </row>
    <row r="158">
      <c r="A158" s="2" t="s">
        <v>52</v>
      </c>
      <c r="B158" s="5">
        <v>46149.0</v>
      </c>
      <c r="C158" s="7" t="s">
        <v>416</v>
      </c>
      <c r="D158" s="13" t="s">
        <v>417</v>
      </c>
      <c r="E158" s="2" t="s">
        <v>346</v>
      </c>
    </row>
    <row r="159">
      <c r="B159" s="3">
        <v>46155.0</v>
      </c>
      <c r="C159" s="4" t="s">
        <v>418</v>
      </c>
      <c r="D159" s="4" t="s">
        <v>419</v>
      </c>
      <c r="E159" s="2" t="s">
        <v>346</v>
      </c>
    </row>
    <row r="160">
      <c r="A160" s="2" t="s">
        <v>52</v>
      </c>
      <c r="B160" s="5">
        <v>46163.0</v>
      </c>
      <c r="C160" s="2" t="s">
        <v>420</v>
      </c>
      <c r="D160" s="2" t="s">
        <v>421</v>
      </c>
      <c r="E160" s="2" t="s">
        <v>346</v>
      </c>
      <c r="F160" s="2" t="s">
        <v>175</v>
      </c>
    </row>
    <row r="161">
      <c r="A161" s="2" t="s">
        <v>52</v>
      </c>
      <c r="B161" s="5">
        <v>46163.0</v>
      </c>
      <c r="C161" s="2" t="s">
        <v>422</v>
      </c>
      <c r="D161" s="2" t="s">
        <v>423</v>
      </c>
      <c r="E161" s="2" t="s">
        <v>346</v>
      </c>
      <c r="F161" s="2" t="s">
        <v>175</v>
      </c>
    </row>
    <row r="162">
      <c r="A162" s="2" t="s">
        <v>52</v>
      </c>
      <c r="B162" s="3">
        <v>46155.0</v>
      </c>
      <c r="C162" s="2" t="s">
        <v>424</v>
      </c>
      <c r="D162" s="2" t="s">
        <v>425</v>
      </c>
      <c r="E162" s="2" t="s">
        <v>426</v>
      </c>
      <c r="F162" s="2" t="s">
        <v>427</v>
      </c>
      <c r="K162" s="2" t="s">
        <v>364</v>
      </c>
    </row>
    <row r="163">
      <c r="A163" s="2" t="s">
        <v>52</v>
      </c>
      <c r="B163" s="3">
        <v>46127.0</v>
      </c>
      <c r="C163" s="2" t="s">
        <v>428</v>
      </c>
      <c r="D163" s="2" t="s">
        <v>429</v>
      </c>
      <c r="E163" s="2" t="s">
        <v>426</v>
      </c>
    </row>
    <row r="164">
      <c r="A164" s="2" t="s">
        <v>52</v>
      </c>
      <c r="B164" s="3">
        <v>46127.0</v>
      </c>
      <c r="C164" s="2" t="s">
        <v>430</v>
      </c>
      <c r="D164" s="2" t="s">
        <v>431</v>
      </c>
      <c r="E164" s="2" t="s">
        <v>426</v>
      </c>
    </row>
    <row r="165">
      <c r="A165" s="2" t="s">
        <v>52</v>
      </c>
      <c r="B165" s="3">
        <v>46135.0</v>
      </c>
      <c r="C165" s="11" t="s">
        <v>432</v>
      </c>
      <c r="D165" s="4" t="s">
        <v>433</v>
      </c>
      <c r="E165" s="2" t="s">
        <v>426</v>
      </c>
    </row>
    <row r="166">
      <c r="A166" s="2" t="s">
        <v>52</v>
      </c>
      <c r="B166" s="3">
        <v>46155.0</v>
      </c>
      <c r="C166" s="11" t="s">
        <v>434</v>
      </c>
      <c r="D166" s="4" t="s">
        <v>435</v>
      </c>
      <c r="E166" s="2" t="s">
        <v>426</v>
      </c>
      <c r="K166" s="2" t="s">
        <v>436</v>
      </c>
    </row>
    <row r="167">
      <c r="B167" s="5">
        <v>46155.0</v>
      </c>
      <c r="C167" s="11" t="s">
        <v>437</v>
      </c>
      <c r="D167" s="4" t="s">
        <v>438</v>
      </c>
      <c r="E167" s="2" t="s">
        <v>426</v>
      </c>
    </row>
    <row r="168">
      <c r="A168" s="2" t="s">
        <v>52</v>
      </c>
      <c r="B168" s="5">
        <v>46163.0</v>
      </c>
      <c r="C168" s="2" t="s">
        <v>439</v>
      </c>
      <c r="D168" s="2" t="s">
        <v>440</v>
      </c>
      <c r="E168" s="2" t="s">
        <v>426</v>
      </c>
      <c r="F168" s="2" t="s">
        <v>175</v>
      </c>
    </row>
    <row r="169">
      <c r="A169" s="2" t="s">
        <v>52</v>
      </c>
      <c r="B169" s="5">
        <v>46163.0</v>
      </c>
      <c r="C169" s="2" t="s">
        <v>441</v>
      </c>
      <c r="D169" s="2" t="s">
        <v>442</v>
      </c>
      <c r="E169" s="2" t="s">
        <v>426</v>
      </c>
      <c r="F169" s="2" t="s">
        <v>175</v>
      </c>
    </row>
    <row r="170">
      <c r="A170" s="2" t="s">
        <v>52</v>
      </c>
      <c r="B170" s="3">
        <v>46127.0</v>
      </c>
      <c r="C170" s="2" t="s">
        <v>443</v>
      </c>
      <c r="D170" s="2" t="s">
        <v>444</v>
      </c>
      <c r="E170" s="2" t="s">
        <v>445</v>
      </c>
    </row>
    <row r="171">
      <c r="A171" s="2" t="s">
        <v>52</v>
      </c>
      <c r="B171" s="3">
        <v>46127.0</v>
      </c>
      <c r="C171" s="2" t="s">
        <v>446</v>
      </c>
      <c r="D171" s="2" t="s">
        <v>447</v>
      </c>
      <c r="E171" s="2" t="s">
        <v>445</v>
      </c>
    </row>
    <row r="172">
      <c r="A172" s="2" t="s">
        <v>52</v>
      </c>
      <c r="B172" s="5">
        <v>46160.0</v>
      </c>
      <c r="C172" s="4" t="s">
        <v>448</v>
      </c>
      <c r="D172" s="4" t="s">
        <v>449</v>
      </c>
      <c r="E172" s="2" t="s">
        <v>445</v>
      </c>
    </row>
    <row r="173">
      <c r="A173" s="2" t="s">
        <v>52</v>
      </c>
      <c r="B173" s="5">
        <v>46160.0</v>
      </c>
      <c r="C173" s="4" t="s">
        <v>450</v>
      </c>
      <c r="D173" s="4" t="s">
        <v>451</v>
      </c>
      <c r="E173" s="2" t="s">
        <v>445</v>
      </c>
    </row>
    <row r="174">
      <c r="A174" s="2" t="s">
        <v>11</v>
      </c>
      <c r="B174" s="3">
        <v>46181.0</v>
      </c>
      <c r="C174" s="2" t="s">
        <v>452</v>
      </c>
      <c r="D174" s="2" t="s">
        <v>453</v>
      </c>
      <c r="E174" s="2" t="s">
        <v>454</v>
      </c>
      <c r="F174" s="2" t="s">
        <v>455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33</v>
      </c>
    </row>
    <row r="175">
      <c r="A175" s="2" t="s">
        <v>11</v>
      </c>
      <c r="B175" s="3">
        <v>46163.0</v>
      </c>
      <c r="C175" s="2" t="s">
        <v>456</v>
      </c>
      <c r="D175" s="2" t="s">
        <v>457</v>
      </c>
      <c r="E175" s="2" t="s">
        <v>454</v>
      </c>
      <c r="F175" s="2" t="s">
        <v>458</v>
      </c>
      <c r="G175" s="2" t="s">
        <v>16</v>
      </c>
      <c r="H175" s="2" t="s">
        <v>16</v>
      </c>
      <c r="I175" s="2" t="s">
        <v>16</v>
      </c>
      <c r="J175" s="2" t="s">
        <v>16</v>
      </c>
      <c r="K175" s="2" t="s">
        <v>459</v>
      </c>
    </row>
    <row r="176">
      <c r="A176" s="2" t="s">
        <v>11</v>
      </c>
      <c r="B176" s="3">
        <v>46120.0</v>
      </c>
      <c r="C176" s="2" t="s">
        <v>460</v>
      </c>
      <c r="D176" s="2" t="s">
        <v>461</v>
      </c>
      <c r="E176" s="2" t="s">
        <v>454</v>
      </c>
    </row>
    <row r="177">
      <c r="A177" s="2" t="s">
        <v>11</v>
      </c>
      <c r="B177" s="3">
        <v>46127.0</v>
      </c>
      <c r="C177" s="2" t="s">
        <v>462</v>
      </c>
      <c r="D177" s="2" t="s">
        <v>463</v>
      </c>
      <c r="E177" s="2" t="s">
        <v>454</v>
      </c>
      <c r="F177" s="2" t="s">
        <v>464</v>
      </c>
    </row>
    <row r="178">
      <c r="A178" s="2" t="s">
        <v>11</v>
      </c>
      <c r="B178" s="3">
        <v>46181.0</v>
      </c>
      <c r="C178" s="2" t="s">
        <v>465</v>
      </c>
      <c r="D178" s="2" t="s">
        <v>466</v>
      </c>
      <c r="E178" s="2" t="s">
        <v>454</v>
      </c>
      <c r="F178" s="2" t="s">
        <v>467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33</v>
      </c>
    </row>
    <row r="179">
      <c r="A179" s="2" t="s">
        <v>11</v>
      </c>
      <c r="B179" s="3">
        <v>46167.0</v>
      </c>
      <c r="C179" s="2" t="s">
        <v>468</v>
      </c>
      <c r="D179" s="2" t="s">
        <v>469</v>
      </c>
      <c r="E179" s="2" t="s">
        <v>454</v>
      </c>
      <c r="F179" s="2" t="s">
        <v>470</v>
      </c>
      <c r="G179" s="2" t="s">
        <v>16</v>
      </c>
      <c r="H179" s="2" t="s">
        <v>17</v>
      </c>
      <c r="I179" s="2" t="s">
        <v>16</v>
      </c>
      <c r="J179" s="2" t="s">
        <v>16</v>
      </c>
      <c r="K179" s="2" t="s">
        <v>18</v>
      </c>
    </row>
    <row r="180">
      <c r="A180" s="2" t="s">
        <v>11</v>
      </c>
      <c r="B180" s="3">
        <v>46132.0</v>
      </c>
      <c r="C180" s="7" t="s">
        <v>471</v>
      </c>
      <c r="D180" s="13" t="s">
        <v>472</v>
      </c>
      <c r="E180" s="2" t="s">
        <v>454</v>
      </c>
    </row>
    <row r="181">
      <c r="A181" s="2" t="s">
        <v>11</v>
      </c>
      <c r="B181" s="3">
        <v>46132.0</v>
      </c>
      <c r="C181" s="7" t="s">
        <v>473</v>
      </c>
      <c r="D181" s="13" t="s">
        <v>474</v>
      </c>
      <c r="E181" s="2" t="s">
        <v>454</v>
      </c>
      <c r="F181" s="2" t="s">
        <v>475</v>
      </c>
    </row>
    <row r="182">
      <c r="A182" s="2" t="s">
        <v>11</v>
      </c>
      <c r="B182" s="3">
        <v>46133.0</v>
      </c>
      <c r="C182" s="2" t="s">
        <v>476</v>
      </c>
      <c r="D182" s="2" t="s">
        <v>477</v>
      </c>
      <c r="E182" s="2" t="s">
        <v>454</v>
      </c>
    </row>
    <row r="183">
      <c r="A183" s="2" t="s">
        <v>11</v>
      </c>
      <c r="B183" s="3">
        <v>46135.0</v>
      </c>
      <c r="C183" s="2" t="s">
        <v>478</v>
      </c>
      <c r="D183" s="2" t="s">
        <v>479</v>
      </c>
      <c r="E183" s="2" t="s">
        <v>454</v>
      </c>
    </row>
    <row r="184">
      <c r="A184" s="2" t="s">
        <v>11</v>
      </c>
      <c r="B184" s="3">
        <v>46135.0</v>
      </c>
      <c r="C184" s="2" t="s">
        <v>480</v>
      </c>
      <c r="D184" s="2" t="s">
        <v>481</v>
      </c>
      <c r="E184" s="2" t="s">
        <v>454</v>
      </c>
    </row>
    <row r="185">
      <c r="A185" s="2" t="s">
        <v>11</v>
      </c>
      <c r="B185" s="3">
        <v>46154.0</v>
      </c>
      <c r="C185" s="2" t="s">
        <v>482</v>
      </c>
      <c r="D185" s="2" t="s">
        <v>483</v>
      </c>
      <c r="E185" s="2" t="s">
        <v>454</v>
      </c>
      <c r="F185" s="2" t="s">
        <v>484</v>
      </c>
      <c r="G185" s="2" t="s">
        <v>16</v>
      </c>
      <c r="H185" s="2" t="s">
        <v>16</v>
      </c>
      <c r="I185" s="2" t="s">
        <v>16</v>
      </c>
      <c r="J185" s="2" t="s">
        <v>16</v>
      </c>
      <c r="K185" s="2" t="s">
        <v>383</v>
      </c>
    </row>
    <row r="186">
      <c r="A186" s="2" t="s">
        <v>11</v>
      </c>
      <c r="B186" s="3">
        <v>46148.0</v>
      </c>
      <c r="C186" s="2" t="s">
        <v>485</v>
      </c>
      <c r="D186" s="2" t="s">
        <v>486</v>
      </c>
      <c r="E186" s="2" t="s">
        <v>454</v>
      </c>
      <c r="F186" s="2" t="s">
        <v>487</v>
      </c>
      <c r="G186" s="2" t="s">
        <v>16</v>
      </c>
      <c r="H186" s="2" t="s">
        <v>16</v>
      </c>
      <c r="I186" s="2" t="s">
        <v>16</v>
      </c>
      <c r="J186" s="2" t="s">
        <v>16</v>
      </c>
      <c r="K186" s="2" t="s">
        <v>488</v>
      </c>
    </row>
    <row r="187">
      <c r="A187" s="2" t="s">
        <v>52</v>
      </c>
      <c r="B187" s="3">
        <v>46086.0</v>
      </c>
      <c r="C187" s="2" t="s">
        <v>489</v>
      </c>
      <c r="D187" s="2" t="s">
        <v>490</v>
      </c>
      <c r="E187" s="2" t="s">
        <v>454</v>
      </c>
    </row>
    <row r="188">
      <c r="A188" s="2" t="s">
        <v>11</v>
      </c>
      <c r="B188" s="5">
        <v>45962.0</v>
      </c>
      <c r="C188" s="2" t="s">
        <v>491</v>
      </c>
      <c r="D188" s="2" t="s">
        <v>492</v>
      </c>
      <c r="E188" s="2" t="s">
        <v>454</v>
      </c>
    </row>
    <row r="189">
      <c r="A189" s="2" t="s">
        <v>11</v>
      </c>
      <c r="B189" s="5">
        <v>46149.0</v>
      </c>
      <c r="C189" s="11" t="s">
        <v>493</v>
      </c>
      <c r="D189" s="11" t="s">
        <v>494</v>
      </c>
      <c r="E189" s="2" t="s">
        <v>454</v>
      </c>
      <c r="F189" s="2" t="s">
        <v>495</v>
      </c>
      <c r="K189" s="2" t="s">
        <v>496</v>
      </c>
    </row>
    <row r="190">
      <c r="A190" s="2" t="s">
        <v>11</v>
      </c>
      <c r="B190" s="5">
        <v>46149.0</v>
      </c>
      <c r="C190" s="2" t="s">
        <v>497</v>
      </c>
      <c r="D190" s="2" t="s">
        <v>498</v>
      </c>
      <c r="E190" s="2" t="s">
        <v>454</v>
      </c>
      <c r="F190" s="2" t="s">
        <v>499</v>
      </c>
      <c r="G190" s="2" t="s">
        <v>16</v>
      </c>
      <c r="H190" s="2" t="s">
        <v>17</v>
      </c>
      <c r="I190" s="2" t="s">
        <v>16</v>
      </c>
      <c r="J190" s="2" t="s">
        <v>16</v>
      </c>
      <c r="K190" s="2" t="s">
        <v>500</v>
      </c>
    </row>
    <row r="191">
      <c r="A191" s="2" t="s">
        <v>11</v>
      </c>
      <c r="B191" s="5">
        <v>46149.0</v>
      </c>
      <c r="C191" s="2" t="s">
        <v>501</v>
      </c>
      <c r="D191" s="2" t="s">
        <v>502</v>
      </c>
      <c r="E191" s="2" t="s">
        <v>454</v>
      </c>
      <c r="F191" s="2" t="s">
        <v>503</v>
      </c>
      <c r="G191" s="2" t="s">
        <v>16</v>
      </c>
      <c r="H191" s="2" t="s">
        <v>17</v>
      </c>
      <c r="I191" s="2" t="s">
        <v>16</v>
      </c>
      <c r="J191" s="2" t="s">
        <v>16</v>
      </c>
      <c r="K191" s="2" t="s">
        <v>504</v>
      </c>
    </row>
    <row r="192">
      <c r="A192" s="2" t="s">
        <v>11</v>
      </c>
      <c r="B192" s="5">
        <v>46155.0</v>
      </c>
      <c r="C192" s="2" t="s">
        <v>505</v>
      </c>
      <c r="D192" s="2" t="s">
        <v>506</v>
      </c>
      <c r="E192" s="2" t="s">
        <v>454</v>
      </c>
      <c r="F192" s="2" t="s">
        <v>507</v>
      </c>
      <c r="G192" s="2" t="s">
        <v>16</v>
      </c>
      <c r="H192" s="2" t="s">
        <v>17</v>
      </c>
      <c r="I192" s="2" t="s">
        <v>16</v>
      </c>
      <c r="J192" s="2" t="s">
        <v>17</v>
      </c>
      <c r="K192" s="2" t="s">
        <v>508</v>
      </c>
    </row>
    <row r="193">
      <c r="A193" s="2" t="s">
        <v>11</v>
      </c>
      <c r="B193" s="5">
        <v>46155.0</v>
      </c>
      <c r="C193" s="2" t="s">
        <v>509</v>
      </c>
      <c r="D193" s="2" t="s">
        <v>510</v>
      </c>
      <c r="E193" s="2" t="s">
        <v>454</v>
      </c>
      <c r="F193" s="2" t="s">
        <v>511</v>
      </c>
      <c r="G193" s="2" t="s">
        <v>17</v>
      </c>
      <c r="H193" s="2" t="s">
        <v>17</v>
      </c>
      <c r="I193" s="2" t="s">
        <v>16</v>
      </c>
      <c r="J193" s="2" t="s">
        <v>16</v>
      </c>
      <c r="K193" s="2" t="s">
        <v>512</v>
      </c>
    </row>
    <row r="194">
      <c r="A194" s="2" t="s">
        <v>11</v>
      </c>
      <c r="B194" s="5">
        <v>46174.0</v>
      </c>
      <c r="C194" s="2" t="s">
        <v>513</v>
      </c>
      <c r="D194" s="2" t="s">
        <v>514</v>
      </c>
      <c r="E194" s="2" t="s">
        <v>454</v>
      </c>
      <c r="F194" s="2" t="s">
        <v>515</v>
      </c>
      <c r="G194" s="2" t="s">
        <v>16</v>
      </c>
      <c r="H194" s="2" t="s">
        <v>16</v>
      </c>
      <c r="I194" s="2" t="s">
        <v>16</v>
      </c>
      <c r="J194" s="2" t="s">
        <v>16</v>
      </c>
      <c r="K194" s="2" t="s">
        <v>153</v>
      </c>
    </row>
    <row r="195">
      <c r="A195" s="2" t="s">
        <v>11</v>
      </c>
      <c r="B195" s="5">
        <v>46162.0</v>
      </c>
      <c r="C195" s="2" t="s">
        <v>516</v>
      </c>
      <c r="D195" s="14" t="s">
        <v>517</v>
      </c>
      <c r="E195" s="2" t="s">
        <v>454</v>
      </c>
      <c r="F195" s="2" t="s">
        <v>518</v>
      </c>
      <c r="G195" s="2" t="s">
        <v>16</v>
      </c>
      <c r="H195" s="2" t="s">
        <v>17</v>
      </c>
      <c r="I195" s="2" t="s">
        <v>16</v>
      </c>
      <c r="J195" s="2" t="s">
        <v>16</v>
      </c>
      <c r="K195" s="2" t="s">
        <v>18</v>
      </c>
    </row>
    <row r="196">
      <c r="A196" s="2" t="s">
        <v>11</v>
      </c>
      <c r="B196" s="5">
        <v>46162.0</v>
      </c>
      <c r="C196" s="2" t="s">
        <v>519</v>
      </c>
      <c r="D196" s="14" t="s">
        <v>520</v>
      </c>
      <c r="E196" s="2" t="s">
        <v>454</v>
      </c>
      <c r="F196" s="2" t="s">
        <v>521</v>
      </c>
      <c r="G196" s="2" t="s">
        <v>16</v>
      </c>
      <c r="H196" s="2" t="s">
        <v>17</v>
      </c>
      <c r="I196" s="2" t="s">
        <v>16</v>
      </c>
      <c r="J196" s="2" t="s">
        <v>16</v>
      </c>
      <c r="K196" s="2" t="s">
        <v>18</v>
      </c>
    </row>
    <row r="197">
      <c r="A197" s="2" t="s">
        <v>11</v>
      </c>
      <c r="B197" s="5">
        <v>46162.0</v>
      </c>
      <c r="C197" s="2" t="s">
        <v>522</v>
      </c>
      <c r="D197" s="14" t="s">
        <v>523</v>
      </c>
      <c r="E197" s="2" t="s">
        <v>454</v>
      </c>
      <c r="F197" s="2" t="s">
        <v>524</v>
      </c>
      <c r="G197" s="2" t="s">
        <v>16</v>
      </c>
      <c r="H197" s="2" t="s">
        <v>16</v>
      </c>
      <c r="I197" s="2" t="s">
        <v>16</v>
      </c>
      <c r="J197" s="2" t="s">
        <v>16</v>
      </c>
      <c r="K197" s="2" t="s">
        <v>33</v>
      </c>
    </row>
    <row r="198">
      <c r="A198" s="2" t="s">
        <v>11</v>
      </c>
      <c r="B198" s="5">
        <v>46162.0</v>
      </c>
      <c r="C198" s="2" t="s">
        <v>525</v>
      </c>
      <c r="D198" s="14" t="s">
        <v>526</v>
      </c>
      <c r="E198" s="2" t="s">
        <v>454</v>
      </c>
      <c r="F198" s="2" t="s">
        <v>527</v>
      </c>
      <c r="G198" s="2" t="s">
        <v>16</v>
      </c>
      <c r="H198" s="2" t="s">
        <v>17</v>
      </c>
      <c r="I198" s="2" t="s">
        <v>16</v>
      </c>
      <c r="J198" s="2" t="s">
        <v>16</v>
      </c>
      <c r="K198" s="2" t="s">
        <v>18</v>
      </c>
    </row>
    <row r="199">
      <c r="A199" s="2" t="s">
        <v>11</v>
      </c>
      <c r="B199" s="5">
        <v>46167.0</v>
      </c>
      <c r="C199" s="2" t="s">
        <v>528</v>
      </c>
      <c r="D199" s="2" t="s">
        <v>529</v>
      </c>
      <c r="E199" s="2" t="s">
        <v>139</v>
      </c>
      <c r="F199" s="2" t="s">
        <v>530</v>
      </c>
      <c r="G199" s="2" t="s">
        <v>16</v>
      </c>
      <c r="H199" s="2" t="s">
        <v>17</v>
      </c>
      <c r="I199" s="2" t="s">
        <v>16</v>
      </c>
      <c r="J199" s="2" t="s">
        <v>16</v>
      </c>
      <c r="K199" s="2" t="s">
        <v>531</v>
      </c>
    </row>
    <row r="200">
      <c r="A200" s="2" t="s">
        <v>11</v>
      </c>
      <c r="B200" s="5">
        <v>46168.0</v>
      </c>
      <c r="C200" s="2" t="s">
        <v>532</v>
      </c>
      <c r="D200" s="2" t="s">
        <v>533</v>
      </c>
      <c r="E200" s="2" t="s">
        <v>454</v>
      </c>
      <c r="F200" s="2" t="s">
        <v>534</v>
      </c>
      <c r="G200" s="2" t="s">
        <v>16</v>
      </c>
      <c r="H200" s="2" t="s">
        <v>17</v>
      </c>
      <c r="I200" s="2" t="s">
        <v>16</v>
      </c>
      <c r="J200" s="2" t="s">
        <v>16</v>
      </c>
      <c r="K200" s="2" t="s">
        <v>18</v>
      </c>
    </row>
    <row r="201">
      <c r="A201" s="2" t="s">
        <v>11</v>
      </c>
      <c r="B201" s="5">
        <v>46168.0</v>
      </c>
      <c r="C201" s="2" t="s">
        <v>535</v>
      </c>
      <c r="D201" s="2" t="s">
        <v>536</v>
      </c>
      <c r="E201" s="2" t="s">
        <v>139</v>
      </c>
      <c r="F201" s="2" t="s">
        <v>537</v>
      </c>
      <c r="G201" s="2" t="s">
        <v>16</v>
      </c>
      <c r="H201" s="2" t="s">
        <v>17</v>
      </c>
      <c r="I201" s="2" t="s">
        <v>16</v>
      </c>
      <c r="J201" s="2" t="s">
        <v>16</v>
      </c>
      <c r="K201" s="2" t="s">
        <v>18</v>
      </c>
    </row>
    <row r="202">
      <c r="A202" s="2" t="s">
        <v>11</v>
      </c>
      <c r="B202" s="5">
        <v>46168.0</v>
      </c>
      <c r="C202" s="2" t="s">
        <v>538</v>
      </c>
      <c r="D202" s="2" t="s">
        <v>539</v>
      </c>
      <c r="E202" s="2" t="s">
        <v>139</v>
      </c>
      <c r="F202" s="2" t="s">
        <v>540</v>
      </c>
      <c r="G202" s="2" t="s">
        <v>16</v>
      </c>
      <c r="H202" s="2" t="s">
        <v>16</v>
      </c>
      <c r="I202" s="2" t="s">
        <v>16</v>
      </c>
      <c r="J202" s="2" t="s">
        <v>16</v>
      </c>
      <c r="K202" s="2" t="s">
        <v>541</v>
      </c>
    </row>
    <row r="203">
      <c r="A203" s="2" t="s">
        <v>11</v>
      </c>
      <c r="B203" s="5">
        <v>46176.0</v>
      </c>
      <c r="C203" s="2" t="s">
        <v>542</v>
      </c>
      <c r="D203" s="2" t="s">
        <v>543</v>
      </c>
      <c r="E203" s="2" t="s">
        <v>14</v>
      </c>
      <c r="F203" s="2" t="s">
        <v>544</v>
      </c>
      <c r="G203" s="2" t="s">
        <v>16</v>
      </c>
      <c r="H203" s="2" t="s">
        <v>16</v>
      </c>
      <c r="I203" s="2" t="s">
        <v>16</v>
      </c>
      <c r="J203" s="2" t="s">
        <v>16</v>
      </c>
      <c r="K203" s="2" t="s">
        <v>33</v>
      </c>
    </row>
    <row r="204">
      <c r="A204" s="2" t="s">
        <v>11</v>
      </c>
      <c r="B204" s="5">
        <v>46170.0</v>
      </c>
      <c r="C204" s="2" t="s">
        <v>545</v>
      </c>
      <c r="D204" s="2" t="s">
        <v>546</v>
      </c>
      <c r="E204" s="2" t="s">
        <v>178</v>
      </c>
      <c r="F204" s="2" t="s">
        <v>547</v>
      </c>
      <c r="G204" s="2" t="s">
        <v>16</v>
      </c>
      <c r="H204" s="2" t="s">
        <v>17</v>
      </c>
      <c r="I204" s="2" t="s">
        <v>16</v>
      </c>
      <c r="J204" s="2" t="s">
        <v>16</v>
      </c>
      <c r="K204" s="2" t="s">
        <v>18</v>
      </c>
    </row>
    <row r="205">
      <c r="A205" s="2" t="s">
        <v>11</v>
      </c>
      <c r="B205" s="5">
        <v>46170.0</v>
      </c>
      <c r="C205" s="2" t="s">
        <v>548</v>
      </c>
      <c r="D205" s="2" t="s">
        <v>549</v>
      </c>
      <c r="E205" s="2" t="s">
        <v>178</v>
      </c>
      <c r="F205" s="2" t="s">
        <v>550</v>
      </c>
      <c r="G205" s="2" t="s">
        <v>16</v>
      </c>
      <c r="H205" s="2" t="s">
        <v>17</v>
      </c>
      <c r="I205" s="2" t="s">
        <v>16</v>
      </c>
      <c r="J205" s="2" t="s">
        <v>16</v>
      </c>
      <c r="K205" s="2" t="s">
        <v>309</v>
      </c>
    </row>
    <row r="206">
      <c r="A206" s="2" t="s">
        <v>11</v>
      </c>
      <c r="B206" s="5">
        <v>46170.0</v>
      </c>
      <c r="C206" s="2" t="s">
        <v>551</v>
      </c>
      <c r="D206" s="2" t="s">
        <v>552</v>
      </c>
      <c r="E206" s="2" t="s">
        <v>293</v>
      </c>
      <c r="F206" s="2" t="s">
        <v>553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554</v>
      </c>
    </row>
    <row r="207">
      <c r="A207" s="2" t="s">
        <v>11</v>
      </c>
      <c r="B207" s="5">
        <v>46170.0</v>
      </c>
      <c r="C207" s="2" t="s">
        <v>555</v>
      </c>
      <c r="D207" s="2" t="s">
        <v>556</v>
      </c>
      <c r="E207" s="2" t="s">
        <v>108</v>
      </c>
      <c r="F207" s="2" t="s">
        <v>557</v>
      </c>
      <c r="G207" s="2" t="s">
        <v>16</v>
      </c>
      <c r="H207" s="2" t="s">
        <v>17</v>
      </c>
      <c r="I207" s="2" t="s">
        <v>16</v>
      </c>
      <c r="J207" s="2" t="s">
        <v>16</v>
      </c>
      <c r="K207" s="2" t="s">
        <v>558</v>
      </c>
    </row>
    <row r="208">
      <c r="A208" s="2" t="s">
        <v>11</v>
      </c>
      <c r="B208" s="5">
        <v>46174.0</v>
      </c>
      <c r="C208" s="2" t="s">
        <v>559</v>
      </c>
      <c r="D208" s="2" t="s">
        <v>560</v>
      </c>
      <c r="E208" s="2" t="s">
        <v>454</v>
      </c>
      <c r="F208" s="2" t="s">
        <v>561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33</v>
      </c>
    </row>
    <row r="209">
      <c r="A209" s="2" t="s">
        <v>11</v>
      </c>
      <c r="B209" s="5">
        <v>46175.0</v>
      </c>
      <c r="C209" s="2" t="s">
        <v>562</v>
      </c>
      <c r="D209" s="2" t="s">
        <v>563</v>
      </c>
      <c r="E209" s="2" t="s">
        <v>14</v>
      </c>
      <c r="F209" s="2" t="s">
        <v>564</v>
      </c>
      <c r="G209" s="2" t="s">
        <v>16</v>
      </c>
      <c r="H209" s="2" t="s">
        <v>16</v>
      </c>
      <c r="I209" s="2" t="s">
        <v>16</v>
      </c>
      <c r="J209" s="2" t="s">
        <v>16</v>
      </c>
      <c r="K209" s="2" t="s">
        <v>33</v>
      </c>
    </row>
    <row r="210">
      <c r="A210" s="2" t="s">
        <v>11</v>
      </c>
      <c r="B210" s="5">
        <v>46176.0</v>
      </c>
      <c r="C210" s="2" t="s">
        <v>565</v>
      </c>
      <c r="D210" s="2" t="s">
        <v>566</v>
      </c>
      <c r="E210" s="2" t="s">
        <v>14</v>
      </c>
      <c r="F210" s="2" t="s">
        <v>567</v>
      </c>
      <c r="G210" s="2" t="s">
        <v>16</v>
      </c>
      <c r="H210" s="2" t="s">
        <v>16</v>
      </c>
      <c r="I210" s="2" t="s">
        <v>16</v>
      </c>
      <c r="J210" s="2" t="s">
        <v>16</v>
      </c>
      <c r="K210" s="2" t="s">
        <v>33</v>
      </c>
    </row>
    <row r="211">
      <c r="A211" s="2" t="s">
        <v>11</v>
      </c>
      <c r="B211" s="5">
        <v>46177.0</v>
      </c>
      <c r="C211" s="2" t="s">
        <v>568</v>
      </c>
      <c r="D211" s="2" t="s">
        <v>569</v>
      </c>
      <c r="E211" s="2" t="s">
        <v>293</v>
      </c>
      <c r="F211" s="2" t="s">
        <v>570</v>
      </c>
      <c r="G211" s="2" t="s">
        <v>17</v>
      </c>
      <c r="H211" s="2" t="s">
        <v>17</v>
      </c>
      <c r="I211" s="2" t="s">
        <v>17</v>
      </c>
      <c r="J211" s="2" t="s">
        <v>17</v>
      </c>
      <c r="K211" s="2" t="s">
        <v>436</v>
      </c>
    </row>
    <row r="212">
      <c r="A212" s="2" t="s">
        <v>11</v>
      </c>
      <c r="B212" s="5">
        <v>46177.0</v>
      </c>
      <c r="C212" s="2" t="s">
        <v>571</v>
      </c>
      <c r="D212" s="2" t="s">
        <v>572</v>
      </c>
      <c r="E212" s="2" t="s">
        <v>108</v>
      </c>
      <c r="F212" s="2" t="s">
        <v>573</v>
      </c>
      <c r="G212" s="2" t="s">
        <v>16</v>
      </c>
      <c r="H212" s="2" t="s">
        <v>16</v>
      </c>
      <c r="I212" s="2" t="s">
        <v>16</v>
      </c>
      <c r="J212" s="2" t="s">
        <v>16</v>
      </c>
      <c r="K212" s="2" t="s">
        <v>33</v>
      </c>
    </row>
    <row r="213">
      <c r="A213" s="2" t="s">
        <v>11</v>
      </c>
      <c r="B213" s="5">
        <v>46181.0</v>
      </c>
      <c r="C213" s="2" t="s">
        <v>574</v>
      </c>
      <c r="D213" s="2" t="s">
        <v>575</v>
      </c>
      <c r="E213" s="2" t="s">
        <v>454</v>
      </c>
      <c r="F213" s="2" t="s">
        <v>576</v>
      </c>
      <c r="G213" s="2" t="s">
        <v>16</v>
      </c>
      <c r="H213" s="2" t="s">
        <v>17</v>
      </c>
      <c r="I213" s="2" t="s">
        <v>16</v>
      </c>
      <c r="J213" s="2" t="s">
        <v>16</v>
      </c>
      <c r="K213" s="2" t="s">
        <v>18</v>
      </c>
    </row>
    <row r="214">
      <c r="A214" s="2" t="s">
        <v>11</v>
      </c>
      <c r="B214" s="5">
        <v>46181.0</v>
      </c>
      <c r="C214" s="2" t="s">
        <v>577</v>
      </c>
      <c r="D214" s="2" t="s">
        <v>578</v>
      </c>
      <c r="E214" s="2" t="s">
        <v>266</v>
      </c>
      <c r="F214" s="2" t="s">
        <v>579</v>
      </c>
      <c r="G214" s="2" t="s">
        <v>16</v>
      </c>
      <c r="H214" s="2" t="s">
        <v>17</v>
      </c>
      <c r="I214" s="2" t="s">
        <v>16</v>
      </c>
      <c r="J214" s="2" t="s">
        <v>16</v>
      </c>
      <c r="K214" s="2" t="s">
        <v>18</v>
      </c>
    </row>
    <row r="215">
      <c r="C215" s="2" t="s">
        <v>580</v>
      </c>
      <c r="D215" s="2" t="s">
        <v>581</v>
      </c>
      <c r="E215" s="2" t="s">
        <v>14</v>
      </c>
      <c r="F215" s="2" t="s">
        <v>582</v>
      </c>
      <c r="G215" s="2" t="s">
        <v>16</v>
      </c>
      <c r="H215" s="2" t="s">
        <v>17</v>
      </c>
      <c r="I215" s="2" t="s">
        <v>16</v>
      </c>
      <c r="J215" s="2" t="s">
        <v>16</v>
      </c>
    </row>
    <row r="216">
      <c r="A216" s="2" t="s">
        <v>11</v>
      </c>
      <c r="B216" s="5">
        <v>46182.0</v>
      </c>
      <c r="C216" s="2" t="s">
        <v>583</v>
      </c>
      <c r="D216" s="2" t="s">
        <v>584</v>
      </c>
      <c r="E216" s="2" t="s">
        <v>346</v>
      </c>
      <c r="F216" s="2" t="s">
        <v>585</v>
      </c>
      <c r="G216" s="2" t="s">
        <v>16</v>
      </c>
      <c r="H216" s="2" t="s">
        <v>17</v>
      </c>
      <c r="I216" s="2" t="s">
        <v>16</v>
      </c>
      <c r="J216" s="2" t="s">
        <v>16</v>
      </c>
      <c r="K216" s="2" t="s">
        <v>18</v>
      </c>
    </row>
    <row r="217">
      <c r="A217" s="2" t="s">
        <v>11</v>
      </c>
      <c r="B217" s="5">
        <v>46184.0</v>
      </c>
      <c r="C217" s="2" t="s">
        <v>586</v>
      </c>
      <c r="D217" s="2" t="s">
        <v>587</v>
      </c>
      <c r="E217" s="2" t="s">
        <v>346</v>
      </c>
      <c r="F217" s="2" t="s">
        <v>588</v>
      </c>
      <c r="G217" s="2" t="s">
        <v>16</v>
      </c>
      <c r="H217" s="2" t="s">
        <v>16</v>
      </c>
      <c r="I217" s="2" t="s">
        <v>16</v>
      </c>
      <c r="J217" s="2" t="s">
        <v>16</v>
      </c>
      <c r="K217" s="2" t="s">
        <v>364</v>
      </c>
    </row>
    <row r="218">
      <c r="A218" s="2" t="s">
        <v>11</v>
      </c>
      <c r="B218" s="5">
        <v>46184.0</v>
      </c>
      <c r="C218" s="2" t="s">
        <v>589</v>
      </c>
      <c r="D218" s="2" t="s">
        <v>590</v>
      </c>
      <c r="E218" s="2" t="s">
        <v>178</v>
      </c>
      <c r="F218" s="2" t="s">
        <v>591</v>
      </c>
      <c r="G218" s="2" t="s">
        <v>17</v>
      </c>
      <c r="H218" s="2" t="s">
        <v>17</v>
      </c>
      <c r="I218" s="2" t="s">
        <v>16</v>
      </c>
      <c r="J218" s="2" t="s">
        <v>16</v>
      </c>
      <c r="K218" s="2" t="s">
        <v>592</v>
      </c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</sheetData>
  <conditionalFormatting sqref="C142:C146 C152:C153">
    <cfRule type="expression" dxfId="0" priority="1">
      <formula>COUNTIF(INDIRECT("DB!C:C"), C142)&gt;0</formula>
    </cfRule>
  </conditionalFormatting>
  <conditionalFormatting sqref="D139:D146 D152:D153 D163 D165:D168 D175">
    <cfRule type="expression" dxfId="1" priority="2">
      <formula>$D139&gt;$D$1</formula>
    </cfRule>
  </conditionalFormatting>
  <conditionalFormatting sqref="C139:C146 C152:C153 C163 C165:C168 C175">
    <cfRule type="expression" dxfId="0" priority="3">
      <formula>COUNTIF($A$3:C139, C139) &gt; 1</formula>
    </cfRule>
  </conditionalFormatting>
  <conditionalFormatting sqref="C139:C141 C163 C165:C168 C175">
    <cfRule type="expression" dxfId="0" priority="4">
      <formula>COUNTIF(INDIRECT("DB!C:C"), C139)&gt;0
</formula>
    </cfRule>
  </conditionalFormatting>
  <conditionalFormatting sqref="E92:E94 E122">
    <cfRule type="expression" dxfId="0" priority="5">
      <formula>COUNTIF($C$2:C91, E92) &gt; 1</formula>
    </cfRule>
  </conditionalFormatting>
  <conditionalFormatting sqref="E91">
    <cfRule type="expression" dxfId="0" priority="6">
      <formula>COUNTIF($C$2:C90, E91) &gt; 1</formula>
    </cfRule>
  </conditionalFormatting>
  <conditionalFormatting sqref="E90">
    <cfRule type="expression" dxfId="0" priority="7">
      <formula>COUNTIF($C$2:C89, E90) &gt; 1</formula>
    </cfRule>
  </conditionalFormatting>
  <conditionalFormatting sqref="E89">
    <cfRule type="expression" dxfId="0" priority="8">
      <formula>COUNTIF($C$2:C88, E89) &gt; 1</formula>
    </cfRule>
  </conditionalFormatting>
  <conditionalFormatting sqref="E87:E88 E109:E110 E121 E177 E182">
    <cfRule type="expression" dxfId="0" priority="9">
      <formula>COUNTIF($C$2:C86, E87) &gt; 1</formula>
    </cfRule>
  </conditionalFormatting>
  <conditionalFormatting sqref="E86">
    <cfRule type="expression" dxfId="0" priority="10">
      <formula>COUNTIF($C$2:C85, E86) &gt; 1</formula>
    </cfRule>
  </conditionalFormatting>
  <conditionalFormatting sqref="E83:E85 E103 E165:E166">
    <cfRule type="expression" dxfId="0" priority="11">
      <formula>COUNTIF($C$2:C82, E83) &gt; 1</formula>
    </cfRule>
  </conditionalFormatting>
  <conditionalFormatting sqref="E81:E82 E168 E181">
    <cfRule type="expression" dxfId="0" priority="12">
      <formula>COUNTIF($C$2:C80, E81) &gt; 1</formula>
    </cfRule>
  </conditionalFormatting>
  <dataValidations>
    <dataValidation type="list" allowBlank="1" showDropDown="1" showErrorMessage="1" sqref="E2:E906">
      <formula1>"Caloocan City,IGOV,Las Piñas City,Makati City,Malabon City,Mandaluyong City,Manila City,Marikina City,Muntinlupa City,Navotas City,Parañaque City,Pasay City,Pasig City,Pateros,Quezon City,San Juan City,Taguig City,Valenzuela City"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593</v>
      </c>
      <c r="B1" s="1" t="s">
        <v>594</v>
      </c>
    </row>
    <row r="2">
      <c r="A2" s="2" t="s">
        <v>11</v>
      </c>
      <c r="B2" s="2" t="s">
        <v>595</v>
      </c>
    </row>
    <row r="3">
      <c r="A3" s="2" t="s">
        <v>595</v>
      </c>
      <c r="B3" s="2" t="s">
        <v>595</v>
      </c>
    </row>
    <row r="4">
      <c r="A4" s="2" t="s">
        <v>52</v>
      </c>
      <c r="B4" s="2" t="s">
        <v>596</v>
      </c>
    </row>
    <row r="5">
      <c r="A5" s="2" t="s">
        <v>88</v>
      </c>
      <c r="B5" s="2" t="s">
        <v>595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4.25"/>
    <col customWidth="1" min="3" max="3" width="11.75"/>
    <col customWidth="1" min="6" max="6" width="14.25"/>
    <col customWidth="1" min="7" max="7" width="9.63"/>
    <col customWidth="1" min="8" max="8" width="12.0"/>
    <col customWidth="1" min="9" max="9" width="36.63"/>
  </cols>
  <sheetData>
    <row r="1">
      <c r="A1" s="15" t="s">
        <v>11</v>
      </c>
      <c r="C1" s="16"/>
      <c r="D1" s="17" t="s">
        <v>597</v>
      </c>
      <c r="E1" s="17" t="s">
        <v>598</v>
      </c>
      <c r="F1" s="18" t="str">
        <f>IFERROR(__xludf.DUMMYFUNCTION("LET(
 data,
 QUERY(
   FILTER(DB!A:D, DB!A:A=A1, DB!B:B&gt;=A2, DB!B:B&lt;=B2),
   ""select Col2, Col3, Col4 order by Col2 asc"",
   0
 ),
 {
   {""NO."",""DATE"",""CODE"",""SITE NAME""};
   {SEQUENCE(ROWS(data)), data}
 }
)
"),"NO.")</f>
        <v>NO.</v>
      </c>
      <c r="G1" s="19" t="str">
        <f>IFERROR(__xludf.DUMMYFUNCTION("""COMPUTED_VALUE"""),"DATE")</f>
        <v>DATE</v>
      </c>
      <c r="H1" s="19" t="str">
        <f>IFERROR(__xludf.DUMMYFUNCTION("""COMPUTED_VALUE"""),"CODE")</f>
        <v>CODE</v>
      </c>
      <c r="I1" s="19" t="str">
        <f>IFERROR(__xludf.DUMMYFUNCTION("""COMPUTED_VALUE"""),"SITE NAME")</f>
        <v>SITE NAME</v>
      </c>
    </row>
    <row r="2">
      <c r="A2" s="20">
        <v>46174.0</v>
      </c>
      <c r="B2" s="20">
        <v>46188.0</v>
      </c>
      <c r="C2" s="21">
        <f>TODAY()-30</f>
        <v>46154</v>
      </c>
      <c r="D2" s="22"/>
      <c r="E2" s="23">
        <f>A2</f>
        <v>46174</v>
      </c>
      <c r="F2" s="24">
        <f>IFERROR(__xludf.DUMMYFUNCTION("""COMPUTED_VALUE"""),1.0)</f>
        <v>1</v>
      </c>
      <c r="G2" s="25">
        <f>IFERROR(__xludf.DUMMYFUNCTION("""COMPUTED_VALUE"""),46174.0)</f>
        <v>46174</v>
      </c>
      <c r="H2" s="4" t="str">
        <f>IFERROR(__xludf.DUMMYFUNCTION("""COMPUTED_VALUE"""),"L4-012-05FCF")</f>
        <v>L4-012-05FCF</v>
      </c>
      <c r="I2" s="4" t="str">
        <f>IFERROR(__xludf.DUMMYFUNCTION("""COMPUTED_VALUE"""),"Mapulang Lupa Health Center")</f>
        <v>Mapulang Lupa Health Center</v>
      </c>
    </row>
    <row r="3">
      <c r="A3" s="26" t="s">
        <v>599</v>
      </c>
      <c r="B3" s="27" t="s">
        <v>600</v>
      </c>
      <c r="C3" s="28" t="s">
        <v>601</v>
      </c>
      <c r="D3" s="22">
        <v>879.0</v>
      </c>
      <c r="E3" s="23">
        <f t="shared" ref="E3:E17" si="1">E2+1</f>
        <v>46175</v>
      </c>
      <c r="F3" s="29">
        <f>IFERROR(__xludf.DUMMYFUNCTION("""COMPUTED_VALUE"""),2.0)</f>
        <v>2</v>
      </c>
      <c r="G3" s="25">
        <f>IFERROR(__xludf.DUMMYFUNCTION("""COMPUTED_VALUE"""),46174.0)</f>
        <v>46174</v>
      </c>
      <c r="H3" s="4" t="str">
        <f>IFERROR(__xludf.DUMMYFUNCTION("""COMPUTED_VALUE"""),"L4-012-04D19")</f>
        <v>L4-012-04D19</v>
      </c>
      <c r="I3" s="4" t="str">
        <f>IFERROR(__xludf.DUMMYFUNCTION("""COMPUTED_VALUE"""),"Valenzuela National High School	")</f>
        <v>Valenzuela National High School	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77</v>
      </c>
      <c r="B4" s="32">
        <f>COUNTIFS(DB!E:E,A4,DB!B:B,"&gt;="&amp;$A$2,DB!B:B,"&lt;="&amp;$B$2,DB!A:A,"="&amp;$A$1)</f>
        <v>0</v>
      </c>
      <c r="C4" s="33">
        <f>COUNTIFS(DB!A:A,"="&amp;$A$1,DB!B:B,TODAY())</f>
        <v>2</v>
      </c>
      <c r="D4" s="22">
        <f>109+407</f>
        <v>516</v>
      </c>
      <c r="E4" s="23">
        <f t="shared" si="1"/>
        <v>46176</v>
      </c>
      <c r="F4" s="29">
        <f>IFERROR(__xludf.DUMMYFUNCTION("""COMPUTED_VALUE"""),3.0)</f>
        <v>3</v>
      </c>
      <c r="G4" s="25">
        <f>IFERROR(__xludf.DUMMYFUNCTION("""COMPUTED_VALUE"""),46175.0)</f>
        <v>46175</v>
      </c>
      <c r="H4" s="4" t="str">
        <f>IFERROR(__xludf.DUMMYFUNCTION("""COMPUTED_VALUE"""),"L4-003-04D56")</f>
        <v>L4-003-04D56</v>
      </c>
      <c r="I4" s="4" t="str">
        <f>IFERROR(__xludf.DUMMYFUNCTION("""COMPUTED_VALUE"""),"Manuel L. Quezon High School")</f>
        <v>Manuel L. Quezon High School</v>
      </c>
    </row>
    <row r="5">
      <c r="A5" s="34" t="s">
        <v>14</v>
      </c>
      <c r="B5" s="32">
        <f>COUNTIFS(DB!E:E,A5,DB!B:B,"&gt;="&amp;$A$2,DB!B:B,"&lt;="&amp;$B$2,DB!A:A,"="&amp;$A$1)</f>
        <v>7</v>
      </c>
      <c r="D5" s="22">
        <f>265+438</f>
        <v>703</v>
      </c>
      <c r="E5" s="23">
        <f t="shared" si="1"/>
        <v>46177</v>
      </c>
      <c r="F5" s="29">
        <f>IFERROR(__xludf.DUMMYFUNCTION("""COMPUTED_VALUE"""),4.0)</f>
        <v>4</v>
      </c>
      <c r="G5" s="25">
        <f>IFERROR(__xludf.DUMMYFUNCTION("""COMPUTED_VALUE"""),46175.0)</f>
        <v>46175</v>
      </c>
      <c r="H5" s="4" t="str">
        <f>IFERROR(__xludf.DUMMYFUNCTION("""COMPUTED_VALUE"""),"L4-003-063C4")</f>
        <v>L4-003-063C4</v>
      </c>
      <c r="I5" s="4" t="str">
        <f>IFERROR(__xludf.DUMMYFUNCTION("""COMPUTED_VALUE"""),"178-A Health Center ")</f>
        <v>178-A Health Center </v>
      </c>
    </row>
    <row r="6">
      <c r="A6" s="35" t="s">
        <v>139</v>
      </c>
      <c r="B6" s="36">
        <f>COUNTIFS(DB!E:E,A6,DB!B:B,"&gt;="&amp;$A$2,DB!B:B,"&lt;="&amp;$B$2,DB!A:A,"="&amp;$A$1)</f>
        <v>1</v>
      </c>
      <c r="C6" s="37" t="s">
        <v>602</v>
      </c>
      <c r="D6" s="38">
        <f>134+413</f>
        <v>547</v>
      </c>
      <c r="E6" s="23">
        <f t="shared" si="1"/>
        <v>46178</v>
      </c>
      <c r="F6" s="29">
        <f>IFERROR(__xludf.DUMMYFUNCTION("""COMPUTED_VALUE"""),5.0)</f>
        <v>5</v>
      </c>
      <c r="G6" s="25">
        <f>IFERROR(__xludf.DUMMYFUNCTION("""COMPUTED_VALUE"""),46176.0)</f>
        <v>46176</v>
      </c>
      <c r="H6" s="4" t="str">
        <f>IFERROR(__xludf.DUMMYFUNCTION("""COMPUTED_VALUE"""),"L4-003-063CE")</f>
        <v>L4-003-063CE</v>
      </c>
      <c r="I6" s="4" t="str">
        <f>IFERROR(__xludf.DUMMYFUNCTION("""COMPUTED_VALUE"""),"Barangay 14 Health Center")</f>
        <v>Barangay 14 Health Center</v>
      </c>
    </row>
    <row r="7">
      <c r="A7" s="35" t="s">
        <v>266</v>
      </c>
      <c r="B7" s="36">
        <f>COUNTIFS(DB!E:E,A7,DB!B:B,"&gt;="&amp;$A$2,DB!B:B,"&lt;="&amp;$B$2,DB!A:A,"="&amp;$A$1)</f>
        <v>1</v>
      </c>
      <c r="C7" s="39">
        <f>B49</f>
        <v>842.8461538</v>
      </c>
      <c r="D7" s="38">
        <f>460+511</f>
        <v>971</v>
      </c>
      <c r="E7" s="23">
        <f t="shared" si="1"/>
        <v>46179</v>
      </c>
      <c r="F7" s="29">
        <f>IFERROR(__xludf.DUMMYFUNCTION("""COMPUTED_VALUE"""),6.0)</f>
        <v>6</v>
      </c>
      <c r="G7" s="25">
        <f>IFERROR(__xludf.DUMMYFUNCTION("""COMPUTED_VALUE"""),46176.0)</f>
        <v>46176</v>
      </c>
      <c r="H7" s="4" t="str">
        <f>IFERROR(__xludf.DUMMYFUNCTION("""COMPUTED_VALUE"""),"L4-003-05F92")</f>
        <v>L4-003-05F92</v>
      </c>
      <c r="I7" s="4" t="str">
        <f>IFERROR(__xludf.DUMMYFUNCTION("""COMPUTED_VALUE"""),"Sampalukan Health Center")</f>
        <v>Sampalukan Health Center</v>
      </c>
    </row>
    <row r="8">
      <c r="A8" s="35" t="s">
        <v>454</v>
      </c>
      <c r="B8" s="36">
        <f>COUNTIFS(DB!E:E,A8,DB!B:B,"&gt;="&amp;$A$2,DB!B:B,"&lt;="&amp;$B$2,DB!A:A,"="&amp;$A$1)</f>
        <v>5</v>
      </c>
      <c r="C8" s="40">
        <v>13.0</v>
      </c>
      <c r="D8" s="38">
        <v>19.0</v>
      </c>
      <c r="E8" s="23">
        <f t="shared" si="1"/>
        <v>46180</v>
      </c>
      <c r="F8" s="29">
        <f>IFERROR(__xludf.DUMMYFUNCTION("""COMPUTED_VALUE"""),7.0)</f>
        <v>7</v>
      </c>
      <c r="G8" s="25">
        <f>IFERROR(__xludf.DUMMYFUNCTION("""COMPUTED_VALUE"""),46176.0)</f>
        <v>46176</v>
      </c>
      <c r="H8" s="4" t="str">
        <f>IFERROR(__xludf.DUMMYFUNCTION("""COMPUTED_VALUE"""),"L4-003-00795")</f>
        <v>L4-003-00795</v>
      </c>
      <c r="I8" s="4" t="str">
        <f>IFERROR(__xludf.DUMMYFUNCTION("""COMPUTED_VALUE"""),"Grace Park Elementary School - Main ")</f>
        <v>Grace Park Elementary School - Main </v>
      </c>
    </row>
    <row r="9">
      <c r="A9" s="34" t="s">
        <v>346</v>
      </c>
      <c r="B9" s="36">
        <f>COUNTIFS(DB!E:E,A9,DB!B:B,"&gt;="&amp;$A$2,DB!B:B,"&lt;="&amp;$B$2,DB!A:A,"="&amp;$A$1)</f>
        <v>3</v>
      </c>
      <c r="C9" s="41">
        <f>C7*C8</f>
        <v>10957</v>
      </c>
      <c r="D9" s="38">
        <v>220.0</v>
      </c>
      <c r="E9" s="23">
        <f t="shared" si="1"/>
        <v>46181</v>
      </c>
      <c r="F9" s="29">
        <f>IFERROR(__xludf.DUMMYFUNCTION("""COMPUTED_VALUE"""),8.0)</f>
        <v>8</v>
      </c>
      <c r="G9" s="25">
        <f>IFERROR(__xludf.DUMMYFUNCTION("""COMPUTED_VALUE"""),46176.0)</f>
        <v>46176</v>
      </c>
      <c r="H9" s="4" t="str">
        <f>IFERROR(__xludf.DUMMYFUNCTION("""COMPUTED_VALUE"""),"L4-003-05F87")</f>
        <v>L4-003-05F87</v>
      </c>
      <c r="I9" s="4" t="str">
        <f>IFERROR(__xludf.DUMMYFUNCTION("""COMPUTED_VALUE"""),"Barangay 18 Health Center")</f>
        <v>Barangay 18 Health Center</v>
      </c>
    </row>
    <row r="10">
      <c r="A10" s="35" t="s">
        <v>178</v>
      </c>
      <c r="B10" s="32">
        <f>COUNTIFS(DB!E:E,A10,DB!B:B,"&gt;="&amp;$A$2,DB!B:B,"&lt;="&amp;$B$2,DB!A:A,"="&amp;$A$1)</f>
        <v>1</v>
      </c>
      <c r="C10" s="42">
        <f>SUM(D2:D17,B23)</f>
        <v>10957</v>
      </c>
      <c r="D10" s="22">
        <v>358.0</v>
      </c>
      <c r="E10" s="23">
        <f t="shared" si="1"/>
        <v>46182</v>
      </c>
      <c r="F10" s="29">
        <f>IFERROR(__xludf.DUMMYFUNCTION("""COMPUTED_VALUE"""),9.0)</f>
        <v>9</v>
      </c>
      <c r="G10" s="25">
        <f>IFERROR(__xludf.DUMMYFUNCTION("""COMPUTED_VALUE"""),46177.0)</f>
        <v>46177</v>
      </c>
      <c r="H10" s="4" t="str">
        <f>IFERROR(__xludf.DUMMYFUNCTION("""COMPUTED_VALUE"""),"L4-013-05EC1")</f>
        <v>L4-013-05EC1</v>
      </c>
      <c r="I10" s="4" t="str">
        <f>IFERROR(__xludf.DUMMYFUNCTION("""COMPUTED_VALUE"""),"Don Bosco Health Center	")</f>
        <v>Don Bosco Health Center	</v>
      </c>
    </row>
    <row r="11">
      <c r="A11" s="35" t="s">
        <v>307</v>
      </c>
      <c r="B11" s="32">
        <f>COUNTIFS(DB!E:E,A11,DB!B:B,"&gt;="&amp;$A$2,DB!B:B,"&lt;="&amp;$B$2,DB!A:A,"="&amp;$A$1)</f>
        <v>0</v>
      </c>
      <c r="D11" s="22">
        <f>386+19</f>
        <v>405</v>
      </c>
      <c r="E11" s="23">
        <f t="shared" si="1"/>
        <v>46183</v>
      </c>
      <c r="F11" s="29">
        <f>IFERROR(__xludf.DUMMYFUNCTION("""COMPUTED_VALUE"""),10.0)</f>
        <v>10</v>
      </c>
      <c r="G11" s="25">
        <f>IFERROR(__xludf.DUMMYFUNCTION("""COMPUTED_VALUE"""),46177.0)</f>
        <v>46177</v>
      </c>
      <c r="H11" s="4" t="str">
        <f>IFERROR(__xludf.DUMMYFUNCTION("""COMPUTED_VALUE"""),"L4-004-05E99")</f>
        <v>L4-004-05E99</v>
      </c>
      <c r="I11" s="4" t="str">
        <f>IFERROR(__xludf.DUMMYFUNCTION("""COMPUTED_VALUE"""),"Pulanglupa Dos Health Center")</f>
        <v>Pulanglupa Dos Health Center</v>
      </c>
    </row>
    <row r="12">
      <c r="A12" s="34" t="s">
        <v>293</v>
      </c>
      <c r="B12" s="32">
        <f>COUNTIFS(DB!E:E,A12,DB!B:B,"&gt;="&amp;$A$2,DB!B:B,"&lt;="&amp;$B$2,DB!A:A,"="&amp;$A$1)</f>
        <v>1</v>
      </c>
      <c r="D12" s="22">
        <v>839.0</v>
      </c>
      <c r="E12" s="23">
        <f t="shared" si="1"/>
        <v>46184</v>
      </c>
      <c r="F12" s="29">
        <f>IFERROR(__xludf.DUMMYFUNCTION("""COMPUTED_VALUE"""),11.0)</f>
        <v>11</v>
      </c>
      <c r="G12" s="25">
        <f>IFERROR(__xludf.DUMMYFUNCTION("""COMPUTED_VALUE"""),46181.0)</f>
        <v>46181</v>
      </c>
      <c r="H12" s="4" t="str">
        <f>IFERROR(__xludf.DUMMYFUNCTION("""COMPUTED_VALUE"""),"L4-007-049E0")</f>
        <v>L4-007-049E0</v>
      </c>
      <c r="I12" s="4" t="str">
        <f>IFERROR(__xludf.DUMMYFUNCTION("""COMPUTED_VALUE"""),"Tañong Integrated School")</f>
        <v>Tañong Integrated School</v>
      </c>
    </row>
    <row r="13">
      <c r="A13" s="35" t="s">
        <v>445</v>
      </c>
      <c r="B13" s="32">
        <f>COUNTIFS(DB!E:E,A13,DB!B:B,"&gt;="&amp;$A$2,DB!B:B,"&lt;="&amp;$B$2,DB!A:A,"="&amp;$A$1)</f>
        <v>0</v>
      </c>
      <c r="D13" s="22"/>
      <c r="E13" s="23">
        <f t="shared" si="1"/>
        <v>46185</v>
      </c>
      <c r="F13" s="29">
        <f>IFERROR(__xludf.DUMMYFUNCTION("""COMPUTED_VALUE"""),12.0)</f>
        <v>12</v>
      </c>
      <c r="G13" s="25">
        <f>IFERROR(__xludf.DUMMYFUNCTION("""COMPUTED_VALUE"""),46181.0)</f>
        <v>46181</v>
      </c>
      <c r="H13" s="4" t="str">
        <f>IFERROR(__xludf.DUMMYFUNCTION("""COMPUTED_VALUE"""),"L4-012-007FF")</f>
        <v>L4-012-007FF</v>
      </c>
      <c r="I13" s="4" t="str">
        <f>IFERROR(__xludf.DUMMYFUNCTION("""COMPUTED_VALUE"""),"Punturin Elementary School")</f>
        <v>Punturin Elementary School</v>
      </c>
    </row>
    <row r="14">
      <c r="A14" s="35" t="s">
        <v>322</v>
      </c>
      <c r="B14" s="32">
        <f>COUNTIFS(DB!E:E,A14,DB!B:B,"&gt;="&amp;$A$2,DB!B:B,"&lt;="&amp;$B$2,DB!A:A,"="&amp;$A$1)</f>
        <v>0</v>
      </c>
      <c r="D14" s="22"/>
      <c r="E14" s="23">
        <f t="shared" si="1"/>
        <v>46186</v>
      </c>
      <c r="F14" s="29">
        <f>IFERROR(__xludf.DUMMYFUNCTION("""COMPUTED_VALUE"""),13.0)</f>
        <v>13</v>
      </c>
      <c r="G14" s="25">
        <f>IFERROR(__xludf.DUMMYFUNCTION("""COMPUTED_VALUE"""),46181.0)</f>
        <v>46181</v>
      </c>
      <c r="H14" s="4" t="str">
        <f>IFERROR(__xludf.DUMMYFUNCTION("""COMPUTED_VALUE"""),"L4-012-007F4")</f>
        <v>L4-012-007F4</v>
      </c>
      <c r="I14" s="4" t="str">
        <f>IFERROR(__xludf.DUMMYFUNCTION("""COMPUTED_VALUE"""),"Canumay East Elementary School")</f>
        <v>Canumay East Elementary School</v>
      </c>
    </row>
    <row r="15">
      <c r="A15" s="35" t="s">
        <v>220</v>
      </c>
      <c r="B15" s="32">
        <f>COUNTIFS(DB!E:E,A15,DB!B:B,"&gt;="&amp;$A$2,DB!B:B,"&lt;="&amp;$B$2,DB!A:A,"="&amp;$A$1)</f>
        <v>0</v>
      </c>
      <c r="D15" s="31"/>
      <c r="E15" s="23">
        <f t="shared" si="1"/>
        <v>46187</v>
      </c>
      <c r="F15" s="29">
        <f>IFERROR(__xludf.DUMMYFUNCTION("""COMPUTED_VALUE"""),14.0)</f>
        <v>14</v>
      </c>
      <c r="G15" s="25">
        <f>IFERROR(__xludf.DUMMYFUNCTION("""COMPUTED_VALUE"""),46181.0)</f>
        <v>46181</v>
      </c>
      <c r="H15" s="4" t="str">
        <f>IFERROR(__xludf.DUMMYFUNCTION("""COMPUTED_VALUE"""),"L4-012-05FE0")</f>
        <v>L4-012-05FE0</v>
      </c>
      <c r="I15" s="4" t="str">
        <f>IFERROR(__xludf.DUMMYFUNCTION("""COMPUTED_VALUE"""),"Tugatog Health Center")</f>
        <v>Tugatog Health Center</v>
      </c>
    </row>
    <row r="16">
      <c r="A16" s="35" t="s">
        <v>130</v>
      </c>
      <c r="B16" s="32">
        <f>COUNTIFS(DB!E:E,A16,DB!B:B,"&gt;="&amp;$A$2,DB!B:B,"&lt;="&amp;$B$2,DB!A:A,"="&amp;$A$1)</f>
        <v>0</v>
      </c>
      <c r="D16" s="22"/>
      <c r="E16" s="23">
        <f t="shared" si="1"/>
        <v>46188</v>
      </c>
      <c r="F16" s="29">
        <f>IFERROR(__xludf.DUMMYFUNCTION("""COMPUTED_VALUE"""),15.0)</f>
        <v>15</v>
      </c>
      <c r="G16" s="25">
        <f>IFERROR(__xludf.DUMMYFUNCTION("""COMPUTED_VALUE"""),46181.0)</f>
        <v>46181</v>
      </c>
      <c r="H16" s="4" t="str">
        <f>IFERROR(__xludf.DUMMYFUNCTION("""COMPUTED_VALUE"""),"L4-00A-05FAC")</f>
        <v>L4-00A-05FAC</v>
      </c>
      <c r="I16" s="4" t="str">
        <f>IFERROR(__xludf.DUMMYFUNCTION("""COMPUTED_VALUE"""),"Bagumbayan Health Center")</f>
        <v>Bagumbayan Health Center</v>
      </c>
    </row>
    <row r="17">
      <c r="A17" s="34" t="s">
        <v>108</v>
      </c>
      <c r="B17" s="32">
        <f>COUNTIFS(DB!E:E,A17,DB!B:B,"&gt;="&amp;$A$2,DB!B:B,"&lt;="&amp;$B$2,DB!A:A,"="&amp;$A$1)</f>
        <v>1</v>
      </c>
      <c r="D17" s="43"/>
      <c r="E17" s="23">
        <f t="shared" si="1"/>
        <v>46189</v>
      </c>
      <c r="F17" s="29">
        <f>IFERROR(__xludf.DUMMYFUNCTION("""COMPUTED_VALUE"""),16.0)</f>
        <v>16</v>
      </c>
      <c r="G17" s="25">
        <f>IFERROR(__xludf.DUMMYFUNCTION("""COMPUTED_VALUE"""),46182.0)</f>
        <v>46182</v>
      </c>
      <c r="H17" s="4" t="str">
        <f>IFERROR(__xludf.DUMMYFUNCTION("""COMPUTED_VALUE"""),"L4-003-05893")</f>
        <v>L4-003-05893</v>
      </c>
      <c r="I17" s="4" t="str">
        <f>IFERROR(__xludf.DUMMYFUNCTION("""COMPUTED_VALUE"""),"University of Caloocan City - Camarin Business Campus")</f>
        <v>University of Caloocan City - Camarin Business Campus</v>
      </c>
    </row>
    <row r="18">
      <c r="A18" s="35" t="s">
        <v>248</v>
      </c>
      <c r="B18" s="32">
        <f>COUNTIFS(DB!E:E,A18,DB!B:B,"&gt;="&amp;$A$2,DB!B:B,"&lt;="&amp;$B$2,DB!A:A,"="&amp;$A$1)</f>
        <v>2</v>
      </c>
      <c r="D18" s="29">
        <f>SUM(D2:D17)</f>
        <v>5457</v>
      </c>
      <c r="F18" s="29">
        <f>IFERROR(__xludf.DUMMYFUNCTION("""COMPUTED_VALUE"""),17.0)</f>
        <v>17</v>
      </c>
      <c r="G18" s="25">
        <f>IFERROR(__xludf.DUMMYFUNCTION("""COMPUTED_VALUE"""),46182.0)</f>
        <v>46182</v>
      </c>
      <c r="H18" s="4" t="str">
        <f>IFERROR(__xludf.DUMMYFUNCTION("""COMPUTED_VALUE"""),"L4-011-00643")</f>
        <v>L4-011-00643</v>
      </c>
      <c r="I18" s="4" t="str">
        <f>IFERROR(__xludf.DUMMYFUNCTION("""COMPUTED_VALUE"""),"San Jose Elementary School - Pag-Ibig sa Nayon Annex")</f>
        <v>San Jose Elementary School - Pag-Ibig sa Nayon Annex</v>
      </c>
    </row>
    <row r="19">
      <c r="A19" s="44" t="s">
        <v>174</v>
      </c>
      <c r="B19" s="32">
        <f>COUNTIFS(DB!E:E,A19,DB!B:B,"&gt;="&amp;$A$2,DB!B:B,"&lt;="&amp;$B$2,DB!A:A,"="&amp;$A$1)</f>
        <v>0</v>
      </c>
      <c r="F19" s="29">
        <f>IFERROR(__xludf.DUMMYFUNCTION("""COMPUTED_VALUE"""),18.0)</f>
        <v>18</v>
      </c>
      <c r="G19" s="25">
        <f>IFERROR(__xludf.DUMMYFUNCTION("""COMPUTED_VALUE"""),46182.0)</f>
        <v>46182</v>
      </c>
      <c r="H19" s="4" t="str">
        <f>IFERROR(__xludf.DUMMYFUNCTION("""COMPUTED_VALUE"""),"L4-011-00644")</f>
        <v>L4-011-00644</v>
      </c>
      <c r="I19" s="4" t="str">
        <f>IFERROR(__xludf.DUMMYFUNCTION("""COMPUTED_VALUE"""),"Sinag-Tala Elementary School	")</f>
        <v>Sinag-Tala Elementary School	</v>
      </c>
    </row>
    <row r="20">
      <c r="A20" s="44" t="s">
        <v>426</v>
      </c>
      <c r="B20" s="32">
        <f>COUNTIFS(DB!E:E,A20,DB!B:B,"&gt;="&amp;$A$2,DB!B:B,"&lt;="&amp;$B$2,DB!A:A,"="&amp;$A$1)</f>
        <v>0</v>
      </c>
      <c r="F20" s="29">
        <f>IFERROR(__xludf.DUMMYFUNCTION("""COMPUTED_VALUE"""),19.0)</f>
        <v>19</v>
      </c>
      <c r="G20" s="25">
        <f>IFERROR(__xludf.DUMMYFUNCTION("""COMPUTED_VALUE"""),46183.0)</f>
        <v>46183</v>
      </c>
      <c r="H20" s="4" t="str">
        <f>IFERROR(__xludf.DUMMYFUNCTION("""COMPUTED_VALUE"""),"L4-00B-00686")</f>
        <v>L4-00B-00686</v>
      </c>
      <c r="I20" s="4" t="str">
        <f>IFERROR(__xludf.DUMMYFUNCTION("""COMPUTED_VALUE"""),"Soldiers' Hills Elementary School")</f>
        <v>Soldiers' Hills Elementary School</v>
      </c>
    </row>
    <row r="21">
      <c r="A21" s="45" t="s">
        <v>603</v>
      </c>
      <c r="B21" s="46">
        <f>SUM(B4:B20)</f>
        <v>22</v>
      </c>
      <c r="F21" s="29">
        <f>IFERROR(__xludf.DUMMYFUNCTION("""COMPUTED_VALUE"""),20.0)</f>
        <v>20</v>
      </c>
      <c r="G21" s="25">
        <f>IFERROR(__xludf.DUMMYFUNCTION("""COMPUTED_VALUE"""),46183.0)</f>
        <v>46183</v>
      </c>
      <c r="H21" s="4" t="str">
        <f>IFERROR(__xludf.DUMMYFUNCTION("""COMPUTED_VALUE"""),"L4-00B-04CFF")</f>
        <v>L4-00B-04CFF</v>
      </c>
      <c r="I21" s="4" t="str">
        <f>IFERROR(__xludf.DUMMYFUNCTION("""COMPUTED_VALUE"""),"Muntinlupa National High School")</f>
        <v>Muntinlupa National High School</v>
      </c>
    </row>
    <row r="22">
      <c r="B22" s="47"/>
      <c r="F22" s="29">
        <f>IFERROR(__xludf.DUMMYFUNCTION("""COMPUTED_VALUE"""),21.0)</f>
        <v>21</v>
      </c>
      <c r="G22" s="25">
        <f>IFERROR(__xludf.DUMMYFUNCTION("""COMPUTED_VALUE"""),46184.0)</f>
        <v>46184</v>
      </c>
      <c r="H22" s="4" t="str">
        <f>IFERROR(__xludf.DUMMYFUNCTION("""COMPUTED_VALUE"""),"L4-011-00626")</f>
        <v>L4-011-00626</v>
      </c>
      <c r="I22" s="4" t="str">
        <f>IFERROR(__xludf.DUMMYFUNCTION("""COMPUTED_VALUE""")," Libis Elementary School")</f>
        <v> Libis Elementary School</v>
      </c>
    </row>
    <row r="23">
      <c r="A23" s="48" t="s">
        <v>604</v>
      </c>
      <c r="B23" s="49">
        <f>250*B21</f>
        <v>5500</v>
      </c>
      <c r="F23" s="29">
        <f>IFERROR(__xludf.DUMMYFUNCTION("""COMPUTED_VALUE"""),22.0)</f>
        <v>22</v>
      </c>
      <c r="G23" s="25">
        <f>IFERROR(__xludf.DUMMYFUNCTION("""COMPUTED_VALUE"""),46184.0)</f>
        <v>46184</v>
      </c>
      <c r="H23" s="4" t="str">
        <f>IFERROR(__xludf.DUMMYFUNCTION("""COMPUTED_VALUE"""),"L4-005-05E7A")</f>
        <v>L4-005-05E7A</v>
      </c>
      <c r="I23" s="4" t="str">
        <f>IFERROR(__xludf.DUMMYFUNCTION("""COMPUTED_VALUE"""),"San Miguel Health Center")</f>
        <v>San Miguel Health Center</v>
      </c>
    </row>
    <row r="24">
      <c r="A24" s="50" t="s">
        <v>605</v>
      </c>
      <c r="B24" s="51">
        <v>2500.0</v>
      </c>
      <c r="F24" s="29"/>
    </row>
    <row r="25">
      <c r="A25" s="52" t="s">
        <v>606</v>
      </c>
      <c r="B25" s="24">
        <v>1000.0</v>
      </c>
      <c r="F25" s="29"/>
    </row>
    <row r="26">
      <c r="A26" s="48" t="s">
        <v>607</v>
      </c>
      <c r="B26" s="53">
        <f>B23-B24-B25</f>
        <v>2000</v>
      </c>
      <c r="F26" s="29"/>
    </row>
    <row r="27">
      <c r="B27" s="47"/>
      <c r="F27" s="29"/>
    </row>
    <row r="28">
      <c r="B28" s="47"/>
      <c r="F28" s="29"/>
    </row>
    <row r="29">
      <c r="A29" s="54" t="str">
        <f>IFERROR(__xludf.DUMMYFUNCTION("{
  QUERY(
    FILTER(DB!A:C, DB!A:A=A1, DB!B:B&gt;=A2, DB!B:B&lt;=B2),
    ""select Col2, count(Col2) 
     group by Col2 
     label Col2 'DATE', count(Col2) 'Supported Sites'"",
    0
  );
  {""TOTAL"",
   SUM(
     QUERY(
       FILTER(DB!A:C, DB!A:A=A1, DB"&amp;"!B:B&gt;=A2, DB!B:B&lt;=B2),
       ""select count(Col2) 
        group by Col2"",
       0
     )
   )
  }
}"),"DATE")</f>
        <v>DATE</v>
      </c>
      <c r="B29" s="54" t="str">
        <f>IFERROR(__xludf.DUMMYFUNCTION("""COMPUTED_VALUE"""),"Supported Sites")</f>
        <v>Supported Sites</v>
      </c>
      <c r="F29" s="29"/>
    </row>
    <row r="30">
      <c r="A30" s="55">
        <f>IFERROR(__xludf.DUMMYFUNCTION("""COMPUTED_VALUE"""),46174.0)</f>
        <v>46174</v>
      </c>
      <c r="B30" s="56">
        <f>IFERROR(__xludf.DUMMYFUNCTION("""COMPUTED_VALUE"""),2.0)</f>
        <v>2</v>
      </c>
      <c r="F30" s="29"/>
    </row>
    <row r="31">
      <c r="A31" s="55">
        <f>IFERROR(__xludf.DUMMYFUNCTION("""COMPUTED_VALUE"""),46175.0)</f>
        <v>46175</v>
      </c>
      <c r="B31" s="56">
        <f>IFERROR(__xludf.DUMMYFUNCTION("""COMPUTED_VALUE"""),2.0)</f>
        <v>2</v>
      </c>
      <c r="F31" s="29"/>
    </row>
    <row r="32">
      <c r="A32" s="55">
        <f>IFERROR(__xludf.DUMMYFUNCTION("""COMPUTED_VALUE"""),46176.0)</f>
        <v>46176</v>
      </c>
      <c r="B32" s="56">
        <f>IFERROR(__xludf.DUMMYFUNCTION("""COMPUTED_VALUE"""),4.0)</f>
        <v>4</v>
      </c>
      <c r="F32" s="29"/>
    </row>
    <row r="33">
      <c r="A33" s="55">
        <f>IFERROR(__xludf.DUMMYFUNCTION("""COMPUTED_VALUE"""),46177.0)</f>
        <v>46177</v>
      </c>
      <c r="B33" s="56">
        <f>IFERROR(__xludf.DUMMYFUNCTION("""COMPUTED_VALUE"""),2.0)</f>
        <v>2</v>
      </c>
      <c r="F33" s="29"/>
    </row>
    <row r="34">
      <c r="A34" s="55">
        <f>IFERROR(__xludf.DUMMYFUNCTION("""COMPUTED_VALUE"""),46181.0)</f>
        <v>46181</v>
      </c>
      <c r="B34" s="56">
        <f>IFERROR(__xludf.DUMMYFUNCTION("""COMPUTED_VALUE"""),5.0)</f>
        <v>5</v>
      </c>
      <c r="F34" s="29"/>
    </row>
    <row r="35">
      <c r="A35" s="55">
        <f>IFERROR(__xludf.DUMMYFUNCTION("""COMPUTED_VALUE"""),46182.0)</f>
        <v>46182</v>
      </c>
      <c r="B35" s="56">
        <f>IFERROR(__xludf.DUMMYFUNCTION("""COMPUTED_VALUE"""),3.0)</f>
        <v>3</v>
      </c>
      <c r="F35" s="29"/>
    </row>
    <row r="36">
      <c r="A36" s="55">
        <f>IFERROR(__xludf.DUMMYFUNCTION("""COMPUTED_VALUE"""),46183.0)</f>
        <v>46183</v>
      </c>
      <c r="B36" s="56">
        <f>IFERROR(__xludf.DUMMYFUNCTION("""COMPUTED_VALUE"""),2.0)</f>
        <v>2</v>
      </c>
      <c r="F36" s="29"/>
    </row>
    <row r="37">
      <c r="A37" s="57">
        <f>IFERROR(__xludf.DUMMYFUNCTION("""COMPUTED_VALUE"""),46184.0)</f>
        <v>46184</v>
      </c>
      <c r="B37" s="58">
        <f>IFERROR(__xludf.DUMMYFUNCTION("""COMPUTED_VALUE"""),2.0)</f>
        <v>2</v>
      </c>
      <c r="F37" s="29"/>
    </row>
    <row r="38">
      <c r="A38" s="59" t="str">
        <f>IFERROR(__xludf.DUMMYFUNCTION("""COMPUTED_VALUE"""),"TOTAL")</f>
        <v>TOTAL</v>
      </c>
      <c r="B38" s="56">
        <f>IFERROR(__xludf.DUMMYFUNCTION("""COMPUTED_VALUE"""),22.0)</f>
        <v>22</v>
      </c>
      <c r="C38" s="1"/>
      <c r="F38" s="29"/>
    </row>
    <row r="39">
      <c r="A39" s="59"/>
      <c r="B39" s="56"/>
      <c r="C39" s="1"/>
      <c r="F39" s="29"/>
    </row>
    <row r="40">
      <c r="A40" s="59"/>
      <c r="B40" s="56"/>
      <c r="C40" s="1"/>
      <c r="F40" s="29"/>
    </row>
    <row r="41">
      <c r="A41" s="60" t="s">
        <v>608</v>
      </c>
      <c r="B41" s="61">
        <f>COUNT(A30:A40)*100</f>
        <v>800</v>
      </c>
      <c r="F41" s="29"/>
    </row>
    <row r="42">
      <c r="B42" s="47"/>
      <c r="F42" s="29"/>
    </row>
    <row r="43">
      <c r="A43" s="62" t="s">
        <v>609</v>
      </c>
      <c r="B43" s="61">
        <f t="shared" ref="B43:B44" si="2">B24</f>
        <v>2500</v>
      </c>
      <c r="F43" s="47"/>
    </row>
    <row r="44">
      <c r="A44" s="62" t="s">
        <v>610</v>
      </c>
      <c r="B44" s="61">
        <f t="shared" si="2"/>
        <v>1000</v>
      </c>
      <c r="F44" s="47"/>
    </row>
    <row r="45">
      <c r="B45" s="47"/>
      <c r="F45" s="47"/>
    </row>
    <row r="46">
      <c r="A46" s="63" t="s">
        <v>611</v>
      </c>
      <c r="B46" s="64"/>
      <c r="F46" s="47"/>
    </row>
    <row r="47">
      <c r="A47" s="31">
        <v>1.622090566E10</v>
      </c>
      <c r="B47" s="65" t="s">
        <v>612</v>
      </c>
    </row>
    <row r="48">
      <c r="B48" s="47"/>
    </row>
    <row r="49">
      <c r="A49" s="66" t="s">
        <v>613</v>
      </c>
      <c r="B49" s="67">
        <f>sum(B23,D2:D17)/13</f>
        <v>842.8461538</v>
      </c>
    </row>
    <row r="51">
      <c r="A51" s="68" t="s">
        <v>614</v>
      </c>
    </row>
    <row r="52">
      <c r="A52" s="69" t="str">
        <f>IFERROR(__xludf.DUMMYFUNCTION("{
 {""ID"",""Site Name"",""Date Last Visit""};
 QUERY(
   IMPORTRANGE(""https://docs.google.com/spreadsheets/d/16troarrNa8xQrTSs1xRhi5dGpsJN0WNilKvf_JYC5r0/edit?usp=drivesdk"",""CMSLive!A:H""),
   ""SELECT Col1, Col2, Col6
    WHERE Col1 CONTAINS 'L4'"",
"&amp;"   0
 )
}"),"ID")</f>
        <v>ID</v>
      </c>
      <c r="B52" s="69" t="str">
        <f>IFERROR(__xludf.DUMMYFUNCTION("""COMPUTED_VALUE"""),"Site Name")</f>
        <v>Site Name</v>
      </c>
      <c r="C52" s="70" t="str">
        <f>IFERROR(__xludf.DUMMYFUNCTION("""COMPUTED_VALUE"""),"Date Last Visit")</f>
        <v>Date Last Visit</v>
      </c>
      <c r="D52" s="19" t="str">
        <f>C52</f>
        <v>Date Last Visit</v>
      </c>
      <c r="E52" s="19" t="s">
        <v>599</v>
      </c>
      <c r="F52" s="19" t="s">
        <v>615</v>
      </c>
      <c r="G52" s="19" t="s">
        <v>5</v>
      </c>
    </row>
    <row r="53">
      <c r="A53" s="4" t="str">
        <f>IFERROR(__xludf.DUMMYFUNCTION("""COMPUTED_VALUE"""),"L4-003-007B8")</f>
        <v>L4-003-007B8</v>
      </c>
      <c r="B53" s="71" t="str">
        <f>IFERROR(__xludf.DUMMYFUNCTION("""COMPUTED_VALUE"""),"Bagong Barrio Elementary School")</f>
        <v>Bagong Barrio Elementary School</v>
      </c>
      <c r="D53" s="4" t="str">
        <f t="array" ref="D53">XLOOKUP(A53,DB!C:C,DB!B:B,"" )</f>
        <v/>
      </c>
      <c r="E53" s="4" t="str">
        <f t="array" ref="E53">XLOOKUP(A53,DB!C:C,DB!E:E,"" )</f>
        <v/>
      </c>
      <c r="F53" s="72" t="str">
        <f t="array" ref="F53">XLOOKUP(A53,Tugon!A6:A1010,Tugon!C6:C1010,"" )</f>
        <v/>
      </c>
      <c r="G53" s="4" t="str">
        <f t="array" ref="G53">XLOOKUP(A53,DB!C:C,DB!F:F,"" )</f>
        <v/>
      </c>
    </row>
    <row r="54">
      <c r="A54" s="4" t="str">
        <f>IFERROR(__xludf.DUMMYFUNCTION("""COMPUTED_VALUE"""),"L4-008-00010")</f>
        <v>L4-008-00010</v>
      </c>
      <c r="B54" s="71" t="str">
        <f>IFERROR(__xludf.DUMMYFUNCTION("""COMPUTED_VALUE"""),"Board of Investments")</f>
        <v>Board of Investments</v>
      </c>
      <c r="D54" s="73">
        <f t="array" ref="D54">XLOOKUP(A54,DB!C:C,DB!B:B,"" )</f>
        <v>45780</v>
      </c>
      <c r="E54" s="4" t="str">
        <f t="array" ref="E54">XLOOKUP(A54,DB!C:C,DB!E:E,"" )</f>
        <v>IGOV</v>
      </c>
      <c r="F54" s="72" t="str">
        <f t="array" ref="F54">XLOOKUP(A54,Tugon!A7:A1010,Tugon!C7:C1010,"" )</f>
        <v/>
      </c>
      <c r="G54" s="4" t="str">
        <f t="array" ref="G54">XLOOKUP(A54,DB!C:C,DB!F:F,"" )</f>
        <v>14.74449260, 120.97239530</v>
      </c>
    </row>
    <row r="55">
      <c r="A55" s="4" t="str">
        <f>IFERROR(__xludf.DUMMYFUNCTION("""COMPUTED_VALUE"""),"L4-008-006F2")</f>
        <v>L4-008-006F2</v>
      </c>
      <c r="B55" s="71" t="str">
        <f>IFERROR(__xludf.DUMMYFUNCTION("""COMPUTED_VALUE"""),"Hen. Pio del Pilar Elementary School I")</f>
        <v>Hen. Pio del Pilar Elementary School I</v>
      </c>
      <c r="D55" s="4" t="str">
        <f t="array" ref="D55">XLOOKUP(A55,DB!C:C,DB!B:B,"" )</f>
        <v/>
      </c>
      <c r="E55" s="4" t="str">
        <f t="array" ref="E55">XLOOKUP(A55,DB!C:C,DB!E:E,"" )</f>
        <v/>
      </c>
      <c r="F55" s="72" t="str">
        <f t="array" ref="F55">XLOOKUP(A55,Tugon!A8:A1010,Tugon!C8:C1010,"" )</f>
        <v/>
      </c>
      <c r="G55" s="4" t="str">
        <f t="array" ref="G55">XLOOKUP(A55,DB!C:C,DB!F:F,"" )</f>
        <v/>
      </c>
    </row>
    <row r="56">
      <c r="A56" s="4" t="str">
        <f>IFERROR(__xludf.DUMMYFUNCTION("""COMPUTED_VALUE"""),"L4-008-00701")</f>
        <v>L4-008-00701</v>
      </c>
      <c r="B56" s="71" t="str">
        <f>IFERROR(__xludf.DUMMYFUNCTION("""COMPUTED_VALUE"""),"Makati Elementary School")</f>
        <v>Makati Elementary School</v>
      </c>
      <c r="D56" s="4" t="str">
        <f t="array" ref="D56">XLOOKUP(A56,DB!C:C,DB!B:B,"" )</f>
        <v/>
      </c>
      <c r="E56" s="4" t="str">
        <f t="array" ref="E56">XLOOKUP(A56,DB!C:C,DB!E:E,"" )</f>
        <v/>
      </c>
      <c r="F56" s="72" t="str">
        <f t="array" ref="F56">XLOOKUP(A56,Tugon!A9:A1010,Tugon!C9:C1010,"" )</f>
        <v>OFFLINE MAY 26</v>
      </c>
      <c r="G56" s="4" t="str">
        <f t="array" ref="G56">XLOOKUP(A56,DB!C:C,DB!F:F,"" )</f>
        <v/>
      </c>
    </row>
    <row r="57">
      <c r="A57" s="4" t="str">
        <f>IFERROR(__xludf.DUMMYFUNCTION("""COMPUTED_VALUE"""),"L4-005-05E5A")</f>
        <v>L4-005-05E5A</v>
      </c>
      <c r="B57" s="71" t="str">
        <f>IFERROR(__xludf.DUMMYFUNCTION("""COMPUTED_VALUE"""),"M. Earnshaw Health Center")</f>
        <v>M. Earnshaw Health Center</v>
      </c>
      <c r="D57" s="25">
        <f t="array" ref="D57">XLOOKUP(A57,DB!C:C,DB!B:B,"" )</f>
        <v>46135</v>
      </c>
      <c r="E57" s="4" t="str">
        <f t="array" ref="E57">XLOOKUP(A57,DB!C:C,DB!E:E,"" )</f>
        <v>Manila City</v>
      </c>
      <c r="F57" s="72" t="str">
        <f t="array" ref="F57">XLOOKUP(A57,Tugon!A10:A1010,Tugon!C10:C1010,"" )</f>
        <v>SITE INSPECTION</v>
      </c>
      <c r="G57" s="4" t="str">
        <f t="array" ref="G57">XLOOKUP(A57,DB!C:C,DB!F:F,"" )</f>
        <v/>
      </c>
    </row>
    <row r="58">
      <c r="A58" s="4" t="str">
        <f>IFERROR(__xludf.DUMMYFUNCTION("""COMPUTED_VALUE"""),"L4-005-0007D")</f>
        <v>L4-005-0007D</v>
      </c>
      <c r="B58" s="71" t="str">
        <f>IFERROR(__xludf.DUMMYFUNCTION("""COMPUTED_VALUE"""),"Department of Finance")</f>
        <v>Department of Finance</v>
      </c>
      <c r="D58" s="4" t="str">
        <f t="array" ref="D58">XLOOKUP(A58,DB!C:C,DB!B:B,"" )</f>
        <v/>
      </c>
      <c r="E58" s="4" t="str">
        <f t="array" ref="E58">XLOOKUP(A58,DB!C:C,DB!E:E,"" )</f>
        <v/>
      </c>
      <c r="F58" s="72" t="str">
        <f t="array" ref="F58">XLOOKUP(A58,Tugon!A11:A1010,Tugon!C11:C1010,"" )</f>
        <v/>
      </c>
      <c r="G58" s="4" t="str">
        <f t="array" ref="G58">XLOOKUP(A58,DB!C:C,DB!F:F,"" )</f>
        <v/>
      </c>
    </row>
    <row r="59">
      <c r="A59" s="4" t="str">
        <f>IFERROR(__xludf.DUMMYFUNCTION("""COMPUTED_VALUE"""),"L4-005-0008F")</f>
        <v>L4-005-0008F</v>
      </c>
      <c r="B59" s="71" t="str">
        <f>IFERROR(__xludf.DUMMYFUNCTION("""COMPUTED_VALUE"""),"Bureau of Customs")</f>
        <v>Bureau of Customs</v>
      </c>
      <c r="D59" s="73" t="str">
        <f t="array" ref="D59">XLOOKUP(A59,DB!C:C,DB!B:B,"" )</f>
        <v/>
      </c>
      <c r="E59" s="4" t="str">
        <f t="array" ref="E59">XLOOKUP(A59,DB!C:C,DB!E:E,"" )</f>
        <v>IGOV</v>
      </c>
      <c r="F59" s="72" t="str">
        <f t="array" ref="F59">XLOOKUP(A59,Tugon!A12:A1010,Tugon!C12:C1010,"" )</f>
        <v>OFFLINE MAY 22</v>
      </c>
      <c r="G59" s="4" t="str">
        <f t="array" ref="G59">XLOOKUP(A59,DB!C:C,DB!F:F,"" )</f>
        <v>14.744307, 120.972969</v>
      </c>
    </row>
    <row r="60">
      <c r="A60" s="4" t="str">
        <f>IFERROR(__xludf.DUMMYFUNCTION("""COMPUTED_VALUE"""),"L4-005-00718")</f>
        <v>L4-005-00718</v>
      </c>
      <c r="B60" s="71" t="str">
        <f>IFERROR(__xludf.DUMMYFUNCTION("""COMPUTED_VALUE"""),"E. delos Santos Elementary School")</f>
        <v>E. delos Santos Elementary School</v>
      </c>
      <c r="D60" s="4" t="str">
        <f t="array" ref="D60">XLOOKUP(A60,DB!C:C,DB!B:B,"" )</f>
        <v/>
      </c>
      <c r="E60" s="4" t="str">
        <f t="array" ref="E60">XLOOKUP(A60,DB!C:C,DB!E:E,"" )</f>
        <v/>
      </c>
      <c r="F60" s="72" t="str">
        <f t="array" ref="F60">XLOOKUP(A60,Tugon!A13:A1010,Tugon!C13:C1010,"" )</f>
        <v/>
      </c>
      <c r="G60" s="4" t="str">
        <f t="array" ref="G60">XLOOKUP(A60,DB!C:C,DB!F:F,"" )</f>
        <v/>
      </c>
    </row>
    <row r="61">
      <c r="A61" s="4" t="str">
        <f>IFERROR(__xludf.DUMMYFUNCTION("""COMPUTED_VALUE"""),"L4-005-0006D")</f>
        <v>L4-005-0006D</v>
      </c>
      <c r="B61" s="71" t="str">
        <f>IFERROR(__xludf.DUMMYFUNCTION("""COMPUTED_VALUE"""),"Intramuros Administration")</f>
        <v>Intramuros Administration</v>
      </c>
      <c r="D61" s="4" t="str">
        <f t="array" ref="D61">XLOOKUP(A61,DB!C:C,DB!B:B,"" )</f>
        <v/>
      </c>
      <c r="E61" s="4" t="str">
        <f t="array" ref="E61">XLOOKUP(A61,DB!C:C,DB!E:E,"" )</f>
        <v/>
      </c>
      <c r="F61" s="72" t="str">
        <f t="array" ref="F61">XLOOKUP(A61,Tugon!A14:A1010,Tugon!C14:C1010,"" )</f>
        <v>OFFLINE MAY 12</v>
      </c>
      <c r="G61" s="4" t="str">
        <f t="array" ref="G61">XLOOKUP(A61,DB!C:C,DB!F:F,"" )</f>
        <v/>
      </c>
    </row>
    <row r="62">
      <c r="A62" s="4" t="str">
        <f>IFERROR(__xludf.DUMMYFUNCTION("""COMPUTED_VALUE"""),"L4-013-05ED0")</f>
        <v>L4-013-05ED0</v>
      </c>
      <c r="B62" s="71" t="str">
        <f>IFERROR(__xludf.DUMMYFUNCTION("""COMPUTED_VALUE"""),"Vitalez Health Center")</f>
        <v>Vitalez Health Center</v>
      </c>
      <c r="D62" s="4" t="str">
        <f t="array" ref="D62">XLOOKUP(A62,DB!C:C,DB!B:B,"" )</f>
        <v/>
      </c>
      <c r="E62" s="4" t="str">
        <f t="array" ref="E62">XLOOKUP(A62,DB!C:C,DB!E:E,"" )</f>
        <v/>
      </c>
      <c r="F62" s="72" t="str">
        <f t="array" ref="F62">XLOOKUP(A62,Tugon!A15:A1010,Tugon!C15:C1010,"" )</f>
        <v>SCHEDULE FOR SITE RELOCATION</v>
      </c>
      <c r="G62" s="4" t="str">
        <f t="array" ref="G62">XLOOKUP(A62,DB!C:C,DB!F:F,"" )</f>
        <v/>
      </c>
    </row>
    <row r="63">
      <c r="A63" s="4" t="str">
        <f>IFERROR(__xludf.DUMMYFUNCTION("""COMPUTED_VALUE"""),"L4-008-06395")</f>
        <v>L4-008-06395</v>
      </c>
      <c r="B63" s="71" t="str">
        <f>IFERROR(__xludf.DUMMYFUNCTION("""COMPUTED_VALUE"""),"Philippine National Police Aviation Security Group")</f>
        <v>Philippine National Police Aviation Security Group</v>
      </c>
      <c r="D63" s="4" t="str">
        <f t="array" ref="D63">XLOOKUP(A63,DB!C:C,DB!B:B,"" )</f>
        <v/>
      </c>
      <c r="E63" s="4" t="str">
        <f t="array" ref="E63">XLOOKUP(A63,DB!C:C,DB!E:E,"" )</f>
        <v/>
      </c>
      <c r="F63" s="72" t="str">
        <f t="array" ref="F63">XLOOKUP(A63,Tugon!A16:A1010,Tugon!C16:C1010,"" )</f>
        <v>OFFLINE MAY 12</v>
      </c>
      <c r="G63" s="4" t="str">
        <f t="array" ref="G63">XLOOKUP(A63,DB!C:C,DB!F:F,"" )</f>
        <v/>
      </c>
    </row>
    <row r="64">
      <c r="A64" s="4" t="str">
        <f>IFERROR(__xludf.DUMMYFUNCTION("""COMPUTED_VALUE"""),"L4-015-0004B")</f>
        <v>L4-015-0004B</v>
      </c>
      <c r="B64" s="71" t="str">
        <f>IFERROR(__xludf.DUMMYFUNCTION("""COMPUTED_VALUE"""),"Overseas Workers Welfare Administration")</f>
        <v>Overseas Workers Welfare Administration</v>
      </c>
      <c r="D64" s="4" t="str">
        <f t="array" ref="D64">XLOOKUP(A64,DB!C:C,DB!B:B,"" )</f>
        <v/>
      </c>
      <c r="E64" s="4" t="str">
        <f t="array" ref="E64">XLOOKUP(A64,DB!C:C,DB!E:E,"" )</f>
        <v>Pasay City</v>
      </c>
      <c r="F64" s="72" t="str">
        <f t="array" ref="F64">XLOOKUP(A64,Tugon!A17:A1010,Tugon!C17:C1010,"" )</f>
        <v/>
      </c>
      <c r="G64" s="4" t="str">
        <f t="array" ref="G64">XLOOKUP(A64,DB!C:C,DB!F:F,"" )</f>
        <v/>
      </c>
    </row>
    <row r="65">
      <c r="A65" s="4" t="str">
        <f>IFERROR(__xludf.DUMMYFUNCTION("""COMPUTED_VALUE"""),"L4-011-00109")</f>
        <v>L4-011-00109</v>
      </c>
      <c r="B65" s="71" t="str">
        <f>IFERROR(__xludf.DUMMYFUNCTION("""COMPUTED_VALUE"""),"East Avenue Medical Center")</f>
        <v>East Avenue Medical Center</v>
      </c>
      <c r="D65" s="4" t="str">
        <f t="array" ref="D65">XLOOKUP(A65,DB!C:C,DB!B:B,"" )</f>
        <v/>
      </c>
      <c r="E65" s="4" t="str">
        <f t="array" ref="E65">XLOOKUP(A65,DB!C:C,DB!E:E,"" )</f>
        <v/>
      </c>
      <c r="F65" s="72" t="str">
        <f t="array" ref="F65">XLOOKUP(A65,Tugon!A18:A1010,Tugon!C18:C1010,"" )</f>
        <v/>
      </c>
      <c r="G65" s="4" t="str">
        <f t="array" ref="G65">XLOOKUP(A65,DB!C:C,DB!F:F,"" )</f>
        <v/>
      </c>
    </row>
    <row r="66">
      <c r="A66" s="4" t="str">
        <f>IFERROR(__xludf.DUMMYFUNCTION("""COMPUTED_VALUE"""),"L4-011-05F58")</f>
        <v>L4-011-05F58</v>
      </c>
      <c r="B66" s="71" t="str">
        <f>IFERROR(__xludf.DUMMYFUNCTION("""COMPUTED_VALUE"""),"Holy Spirit Health Center")</f>
        <v>Holy Spirit Health Center</v>
      </c>
      <c r="D66" s="25">
        <f t="array" ref="D66">XLOOKUP(A66,DB!C:C,DB!B:B,"" )</f>
        <v>46129</v>
      </c>
      <c r="E66" s="4" t="str">
        <f t="array" ref="E66">XLOOKUP(A66,DB!C:C,DB!E:E,"" )</f>
        <v>Quezon City</v>
      </c>
      <c r="F66" s="72" t="str">
        <f t="array" ref="F66">XLOOKUP(A66,Tugon!A19:A1010,Tugon!C19:C1010,"" )</f>
        <v/>
      </c>
      <c r="G66" s="4" t="str">
        <f t="array" ref="G66">XLOOKUP(A66,DB!C:C,DB!F:F,"" )</f>
        <v/>
      </c>
    </row>
    <row r="67">
      <c r="A67" s="4" t="str">
        <f>IFERROR(__xludf.DUMMYFUNCTION("""COMPUTED_VALUE"""),"L4-005-06379")</f>
        <v>L4-005-06379</v>
      </c>
      <c r="B67" s="71" t="str">
        <f>IFERROR(__xludf.DUMMYFUNCTION("""COMPUTED_VALUE"""),"Balonbato Barangay Hall")</f>
        <v>Balonbato Barangay Hall</v>
      </c>
      <c r="D67" s="4" t="str">
        <f t="array" ref="D67">XLOOKUP(A67,DB!C:C,DB!B:B,"" )</f>
        <v/>
      </c>
      <c r="E67" s="4" t="str">
        <f t="array" ref="E67">XLOOKUP(A67,DB!C:C,DB!E:E,"" )</f>
        <v/>
      </c>
      <c r="F67" s="72" t="str">
        <f t="array" ref="F67">XLOOKUP(A67,Tugon!A20:A1010,Tugon!C20:C1010,"" )</f>
        <v/>
      </c>
      <c r="G67" s="4" t="str">
        <f t="array" ref="G67">XLOOKUP(A67,DB!C:C,DB!F:F,"" )</f>
        <v/>
      </c>
    </row>
    <row r="68">
      <c r="B68" s="71"/>
      <c r="D68" s="4" t="str">
        <f t="array" ref="D68">XLOOKUP(A68,DB!C:C,DB!B:B,"" )</f>
        <v/>
      </c>
      <c r="E68" s="4" t="str">
        <f t="array" ref="E68">XLOOKUP(A68,DB!C:C,DB!E:E,"" )</f>
        <v/>
      </c>
      <c r="F68" s="72" t="str">
        <f t="array" ref="F68">XLOOKUP(A68,Tugon!A21:A1010,Tugon!C21:C1010,"" )</f>
        <v/>
      </c>
      <c r="G68" s="4" t="str">
        <f t="array" ref="G68">XLOOKUP(A68,DB!C:C,DB!F:F,"" )</f>
        <v/>
      </c>
    </row>
    <row r="69">
      <c r="B69" s="71"/>
      <c r="D69" s="4" t="str">
        <f t="array" ref="D69">XLOOKUP(A69,DB!C:C,DB!B:B,"" )</f>
        <v/>
      </c>
      <c r="E69" s="4" t="str">
        <f t="array" ref="E69">XLOOKUP(A69,DB!C:C,DB!E:E,"" )</f>
        <v/>
      </c>
      <c r="F69" s="72" t="str">
        <f t="array" ref="F69">XLOOKUP(A69,Tugon!A22:A1010,Tugon!C22:C1010,"" )</f>
        <v/>
      </c>
      <c r="G69" s="4" t="str">
        <f t="array" ref="G69">XLOOKUP(A69,DB!C:C,DB!F:F,"" )</f>
        <v/>
      </c>
    </row>
    <row r="70">
      <c r="B70" s="71"/>
      <c r="D70" s="4" t="str">
        <f t="array" ref="D70">XLOOKUP(A70,DB!C:C,DB!B:B,"" )</f>
        <v/>
      </c>
      <c r="E70" s="4" t="str">
        <f t="array" ref="E70">XLOOKUP(A70,DB!C:C,DB!E:E,"" )</f>
        <v/>
      </c>
      <c r="F70" s="72" t="str">
        <f t="array" ref="F70">XLOOKUP(A70,Tugon!A23:A1010,Tugon!C23:C1010,"" )</f>
        <v/>
      </c>
      <c r="G70" s="4" t="str">
        <f t="array" ref="G70">XLOOKUP(A70,DB!C:C,DB!F:F,"" )</f>
        <v/>
      </c>
    </row>
    <row r="71">
      <c r="B71" s="71"/>
      <c r="D71" s="4" t="str">
        <f t="array" ref="D71">XLOOKUP(A71,DB!C:C,DB!B:B,"" )</f>
        <v/>
      </c>
      <c r="E71" s="4" t="str">
        <f t="array" ref="E71">XLOOKUP(A71,DB!C:C,DB!E:E,"" )</f>
        <v/>
      </c>
      <c r="F71" s="72" t="str">
        <f t="array" ref="F71">XLOOKUP(A71,Tugon!A24:A1010,Tugon!C24:C1010,"" )</f>
        <v/>
      </c>
      <c r="G71" s="4" t="str">
        <f t="array" ref="G71">XLOOKUP(A71,DB!C:C,DB!F:F,"" )</f>
        <v/>
      </c>
    </row>
    <row r="72">
      <c r="B72" s="71"/>
      <c r="D72" s="4" t="str">
        <f t="array" ref="D72">XLOOKUP(A72,DB!C:C,DB!B:B,"" )</f>
        <v/>
      </c>
      <c r="E72" s="4" t="str">
        <f t="array" ref="E72">XLOOKUP(A72,DB!C:C,DB!E:E,"" )</f>
        <v/>
      </c>
      <c r="F72" s="72" t="str">
        <f t="array" ref="F72">XLOOKUP(A72,Tugon!A25:A1010,Tugon!C25:C1010,"" )</f>
        <v/>
      </c>
      <c r="G72" s="4" t="str">
        <f t="array" ref="G72">XLOOKUP(A72,DB!C:C,DB!F:F,"" )</f>
        <v/>
      </c>
    </row>
    <row r="73">
      <c r="B73" s="71"/>
      <c r="D73" s="4" t="str">
        <f t="array" ref="D73">XLOOKUP(A73,DB!C:C,DB!B:B,"" )</f>
        <v/>
      </c>
      <c r="E73" s="4" t="str">
        <f t="array" ref="E73">XLOOKUP(A73,DB!C:C,DB!E:E,"" )</f>
        <v/>
      </c>
      <c r="F73" s="72" t="str">
        <f t="array" ref="F73">XLOOKUP(A73,Tugon!A26:A1010,Tugon!C26:C1010,"" )</f>
        <v/>
      </c>
      <c r="G73" s="4" t="str">
        <f t="array" ref="G73">XLOOKUP(A73,DB!C:C,DB!F:F,"" )</f>
        <v/>
      </c>
    </row>
    <row r="74">
      <c r="B74" s="71"/>
      <c r="D74" s="4" t="str">
        <f t="array" ref="D74">XLOOKUP(A74,DB!C:C,DB!B:B,"" )</f>
        <v/>
      </c>
      <c r="E74" s="4" t="str">
        <f t="array" ref="E74">XLOOKUP(A74,DB!C:C,DB!E:E,"" )</f>
        <v/>
      </c>
      <c r="F74" s="72" t="str">
        <f t="array" ref="F74">XLOOKUP(A74,Tugon!A27:A1010,Tugon!C27:C1010,"" )</f>
        <v/>
      </c>
      <c r="G74" s="4" t="str">
        <f t="array" ref="G74">XLOOKUP(A74,DB!C:C,DB!F:F,"" )</f>
        <v/>
      </c>
    </row>
    <row r="75">
      <c r="B75" s="71"/>
      <c r="D75" s="4" t="str">
        <f t="array" ref="D75">XLOOKUP(A75,DB!C:C,DB!B:B,"" )</f>
        <v/>
      </c>
      <c r="E75" s="4" t="str">
        <f t="array" ref="E75">XLOOKUP(A75,DB!C:C,DB!E:E,"" )</f>
        <v/>
      </c>
      <c r="F75" s="72" t="str">
        <f t="array" ref="F75">XLOOKUP(A75,Tugon!A28:A1010,Tugon!C28:C1010,"" )</f>
        <v/>
      </c>
      <c r="G75" s="4" t="str">
        <f t="array" ref="G75">XLOOKUP(A75,DB!C:C,DB!F:F,"" )</f>
        <v/>
      </c>
    </row>
    <row r="76">
      <c r="B76" s="71"/>
      <c r="D76" s="4" t="str">
        <f t="array" ref="D76">XLOOKUP(A76,DB!C:C,DB!B:B,"" )</f>
        <v/>
      </c>
      <c r="E76" s="4" t="str">
        <f t="array" ref="E76">XLOOKUP(A76,DB!C:C,DB!E:E,"" )</f>
        <v/>
      </c>
      <c r="F76" s="72" t="str">
        <f t="array" ref="F76">XLOOKUP(A76,Tugon!A29:A1010,Tugon!C29:C1010,"" )</f>
        <v/>
      </c>
      <c r="G76" s="4" t="str">
        <f t="array" ref="G76">XLOOKUP(A76,DB!C:C,DB!F:F,"" )</f>
        <v/>
      </c>
    </row>
    <row r="77">
      <c r="B77" s="71"/>
      <c r="D77" s="4" t="str">
        <f t="array" ref="D77">XLOOKUP(A77,DB!C:C,DB!B:B,"" )</f>
        <v/>
      </c>
      <c r="E77" s="4" t="str">
        <f t="array" ref="E77">XLOOKUP(A77,DB!C:C,DB!E:E,"" )</f>
        <v/>
      </c>
      <c r="F77" s="72" t="str">
        <f t="array" ref="F77">XLOOKUP(A77,Tugon!A30:A1010,Tugon!C30:C1010,"" )</f>
        <v/>
      </c>
      <c r="G77" s="4" t="str">
        <f t="array" ref="G77">XLOOKUP(A77,DB!C:C,DB!F:F,"" )</f>
        <v/>
      </c>
    </row>
    <row r="78">
      <c r="B78" s="71"/>
      <c r="D78" s="4" t="str">
        <f t="array" ref="D78">XLOOKUP(A78,DB!C:C,DB!B:B,"" )</f>
        <v/>
      </c>
      <c r="E78" s="4" t="str">
        <f t="array" ref="E78">XLOOKUP(A78,DB!C:C,DB!E:E,"" )</f>
        <v/>
      </c>
      <c r="F78" s="72" t="str">
        <f t="array" ref="F78">XLOOKUP(A78,Tugon!A31:A1010,Tugon!C31:C1010,"" )</f>
        <v/>
      </c>
      <c r="G78" s="4" t="str">
        <f t="array" ref="G78">XLOOKUP(A78,DB!C:C,DB!F:F,"" )</f>
        <v/>
      </c>
    </row>
    <row r="79">
      <c r="B79" s="71"/>
      <c r="D79" s="4" t="str">
        <f t="array" ref="D79">XLOOKUP(A79,DB!C:C,DB!B:B,"" )</f>
        <v/>
      </c>
      <c r="E79" s="4" t="str">
        <f t="array" ref="E79">XLOOKUP(A79,DB!C:C,DB!E:E,"" )</f>
        <v/>
      </c>
      <c r="F79" s="72" t="str">
        <f t="array" ref="F79">XLOOKUP(A79,Tugon!A32:A1010,Tugon!C32:C1010,"" )</f>
        <v/>
      </c>
      <c r="G79" s="4" t="str">
        <f t="array" ref="G79">XLOOKUP(A79,DB!C:C,DB!F:F,"" )</f>
        <v/>
      </c>
    </row>
    <row r="80">
      <c r="B80" s="71"/>
      <c r="D80" s="4" t="str">
        <f t="array" ref="D80">XLOOKUP(A80,DB!C:C,DB!B:B,"" )</f>
        <v/>
      </c>
      <c r="E80" s="4" t="str">
        <f t="array" ref="E80">XLOOKUP(A80,DB!C:C,DB!E:E,"" )</f>
        <v/>
      </c>
      <c r="F80" s="72" t="str">
        <f t="array" ref="F80">XLOOKUP(A80,Tugon!A33:A1010,Tugon!C33:C1010,"" )</f>
        <v/>
      </c>
      <c r="G80" s="4" t="str">
        <f t="array" ref="G80">XLOOKUP(A80,DB!C:C,DB!F:F,"" )</f>
        <v/>
      </c>
    </row>
    <row r="81">
      <c r="B81" s="71"/>
      <c r="D81" s="4" t="str">
        <f t="array" ref="D81">XLOOKUP(A81,DB!C:C,DB!B:B,"" )</f>
        <v/>
      </c>
      <c r="E81" s="4" t="str">
        <f t="array" ref="E81">XLOOKUP(A81,DB!C:C,DB!E:E,"" )</f>
        <v/>
      </c>
      <c r="F81" s="72" t="str">
        <f t="array" ref="F81">XLOOKUP(A81,Tugon!A34:A1010,Tugon!C34:C1010,"" )</f>
        <v/>
      </c>
      <c r="G81" s="4" t="str">
        <f t="array" ref="G81">XLOOKUP(A81,DB!C:C,DB!F:F,"" )</f>
        <v/>
      </c>
    </row>
    <row r="82">
      <c r="B82" s="71"/>
      <c r="D82" s="4" t="str">
        <f t="array" ref="D82">XLOOKUP(A82,DB!C:C,DB!B:B,"" )</f>
        <v/>
      </c>
      <c r="E82" s="4" t="str">
        <f t="array" ref="E82">XLOOKUP(A82,DB!C:C,DB!E:E,"" )</f>
        <v/>
      </c>
      <c r="F82" s="72" t="str">
        <f t="array" ref="F82">XLOOKUP(A82,DB!C:C,DB!K:K,"" )</f>
        <v/>
      </c>
      <c r="G82" s="4" t="str">
        <f t="array" ref="G82">XLOOKUP(A82,DB!C:C,DB!F:F,"" )</f>
        <v/>
      </c>
    </row>
    <row r="83">
      <c r="B83" s="71"/>
      <c r="D83" s="4" t="str">
        <f t="array" ref="D83">XLOOKUP(A83,DB!C:C,DB!B:B,"" )</f>
        <v/>
      </c>
      <c r="E83" s="4" t="str">
        <f t="array" ref="E83">XLOOKUP(A83,DB!C:C,DB!E:E,"" )</f>
        <v/>
      </c>
      <c r="F83" s="72" t="str">
        <f t="array" ref="F83">XLOOKUP(A83,DB!C:C,DB!K:K,"" )</f>
        <v/>
      </c>
      <c r="G83" s="4" t="str">
        <f t="array" ref="G83">XLOOKUP(A83,DB!C:C,DB!F:F,"" )</f>
        <v/>
      </c>
    </row>
    <row r="84">
      <c r="B84" s="71"/>
      <c r="D84" s="4" t="str">
        <f t="array" ref="D84">XLOOKUP(A84,DB!C:C,DB!B:B,"" )</f>
        <v/>
      </c>
      <c r="E84" s="4" t="str">
        <f t="array" ref="E84">XLOOKUP(A84,DB!C:C,DB!E:E,"" )</f>
        <v/>
      </c>
      <c r="F84" s="72" t="str">
        <f t="array" ref="F84">XLOOKUP(A84,DB!C:C,DB!K:K,"" )</f>
        <v/>
      </c>
      <c r="G84" s="4" t="str">
        <f t="array" ref="G84">XLOOKUP(A84,DB!C:C,DB!F:F,"" )</f>
        <v/>
      </c>
    </row>
    <row r="85">
      <c r="B85" s="71"/>
      <c r="D85" s="4" t="str">
        <f t="array" ref="D85">XLOOKUP(A85,DB!C:C,DB!B:B,"" )</f>
        <v/>
      </c>
      <c r="E85" s="4" t="str">
        <f t="array" ref="E85">XLOOKUP(A85,DB!C:C,DB!E:E,"" )</f>
        <v/>
      </c>
      <c r="F85" s="72" t="str">
        <f t="array" ref="F85">XLOOKUP(A85,DB!C:C,DB!K:K,"" )</f>
        <v/>
      </c>
      <c r="G85" s="4" t="str">
        <f t="array" ref="G85">XLOOKUP(A85,DB!C:C,DB!F:F,"" )</f>
        <v/>
      </c>
    </row>
    <row r="86">
      <c r="B86" s="71"/>
      <c r="D86" s="4" t="str">
        <f t="array" ref="D86">XLOOKUP(A86,DB!C:C,DB!B:B,"" )</f>
        <v/>
      </c>
      <c r="E86" s="4" t="str">
        <f t="array" ref="E86">XLOOKUP(A86,DB!C:C,DB!E:E,"" )</f>
        <v/>
      </c>
      <c r="F86" s="72" t="str">
        <f t="array" ref="F86">XLOOKUP(A86,DB!C:C,DB!K:K,"" )</f>
        <v/>
      </c>
      <c r="G86" s="4" t="str">
        <f t="array" ref="G86">XLOOKUP(A86,DB!C:C,DB!F:F,"" )</f>
        <v/>
      </c>
    </row>
    <row r="87">
      <c r="B87" s="71"/>
      <c r="D87" s="4" t="str">
        <f t="array" ref="D87">XLOOKUP(A87,DB!C:C,DB!B:B,"" )</f>
        <v/>
      </c>
      <c r="E87" s="4" t="str">
        <f t="array" ref="E87">XLOOKUP(A87,DB!C:C,DB!E:E,"" )</f>
        <v/>
      </c>
      <c r="F87" s="72" t="str">
        <f t="array" ref="F87">XLOOKUP(A87,DB!C:C,DB!K:K,"" )</f>
        <v/>
      </c>
      <c r="G87" s="4" t="str">
        <f t="array" ref="G87">XLOOKUP(A87,DB!C:C,DB!F:F,"" )</f>
        <v/>
      </c>
    </row>
    <row r="88">
      <c r="B88" s="47"/>
      <c r="G88" s="4" t="str">
        <f t="array" ref="G88">XLOOKUP(A88,DB!C:C,DB!F:F,"" )</f>
        <v/>
      </c>
    </row>
    <row r="89">
      <c r="B89" s="47"/>
      <c r="G89" s="4" t="str">
        <f t="array" ref="G89">XLOOKUP(A89,DB!C:C,DB!F:F,"" )</f>
        <v/>
      </c>
    </row>
    <row r="90">
      <c r="B90" s="47"/>
      <c r="G90" s="4" t="str">
        <f t="array" ref="G90">XLOOKUP(A90,DB!C:C,DB!F:F,"" )</f>
        <v/>
      </c>
    </row>
    <row r="91">
      <c r="B91" s="47"/>
      <c r="G91" s="4" t="str">
        <f t="array" ref="G91">XLOOKUP(A91,DB!C:C,DB!F:F,"" )</f>
        <v/>
      </c>
    </row>
    <row r="92">
      <c r="B92" s="47"/>
      <c r="G92" s="4" t="str">
        <f t="array" ref="G92">XLOOKUP(A92,DB!C:C,DB!F:F,"" )</f>
        <v/>
      </c>
    </row>
    <row r="93">
      <c r="B93" s="47"/>
      <c r="G93" s="4" t="str">
        <f t="array" ref="G93">XLOOKUP(A93,DB!C:C,DB!F:F,"" )</f>
        <v/>
      </c>
    </row>
    <row r="94">
      <c r="B94" s="47"/>
      <c r="G94" s="4" t="str">
        <f t="array" ref="G94">XLOOKUP(A94,DB!C:C,DB!F:F,"" )</f>
        <v/>
      </c>
    </row>
    <row r="95">
      <c r="B95" s="47"/>
      <c r="G95" s="4" t="str">
        <f t="array" ref="G95">XLOOKUP(A95,DB!C:C,DB!F:F,"" )</f>
        <v/>
      </c>
    </row>
    <row r="96">
      <c r="B96" s="47"/>
      <c r="G96" s="4" t="str">
        <f t="array" ref="G96">XLOOKUP(A96,DB!C:C,DB!F:F,"" )</f>
        <v/>
      </c>
    </row>
    <row r="97">
      <c r="B97" s="47"/>
      <c r="G97" s="4" t="str">
        <f t="array" ref="G97">XLOOKUP(A97,DB!C:C,DB!F:F,"" )</f>
        <v/>
      </c>
    </row>
    <row r="98">
      <c r="B98" s="47"/>
      <c r="G98" s="4" t="str">
        <f t="array" ref="G98">XLOOKUP(A98,DB!C:C,DB!F:F,"" )</f>
        <v/>
      </c>
    </row>
    <row r="99">
      <c r="B99" s="47"/>
      <c r="G99" s="4" t="str">
        <f t="array" ref="G99">XLOOKUP(A99,DB!C:C,DB!F:F,"" )</f>
        <v/>
      </c>
    </row>
    <row r="100">
      <c r="B100" s="47"/>
      <c r="G100" s="4" t="str">
        <f t="array" ref="G100">XLOOKUP(A100,DB!C:C,DB!F:F,"" )</f>
        <v/>
      </c>
    </row>
    <row r="101">
      <c r="B101" s="47"/>
      <c r="G101" s="4" t="str">
        <f t="array" ref="G101">XLOOKUP(A101,DB!C:C,DB!F:F,"" )</f>
        <v/>
      </c>
    </row>
    <row r="102">
      <c r="B102" s="47"/>
      <c r="G102" s="4" t="str">
        <f t="array" ref="G102">XLOOKUP(A102,DB!C:C,DB!F:F,"" )</f>
        <v/>
      </c>
    </row>
    <row r="103">
      <c r="B103" s="47"/>
      <c r="G103" s="4" t="str">
        <f t="array" ref="G103">XLOOKUP(A103,DB!C:C,DB!F:F,"" )</f>
        <v/>
      </c>
    </row>
    <row r="104">
      <c r="B104" s="47"/>
      <c r="G104" s="4" t="str">
        <f t="array" ref="G104">XLOOKUP(A104,DB!C:C,DB!F:F,"" )</f>
        <v/>
      </c>
    </row>
    <row r="105">
      <c r="B105" s="47"/>
      <c r="G105" s="4" t="str">
        <f t="array" ref="G105">XLOOKUP(A105,DB!C:C,DB!F:F,"" )</f>
        <v/>
      </c>
    </row>
    <row r="106">
      <c r="B106" s="47"/>
    </row>
    <row r="107">
      <c r="B107" s="47"/>
    </row>
    <row r="108">
      <c r="B108" s="47"/>
    </row>
    <row r="109">
      <c r="B109" s="47"/>
    </row>
    <row r="110">
      <c r="B110" s="47"/>
    </row>
    <row r="111">
      <c r="B111" s="47"/>
    </row>
    <row r="112">
      <c r="B112" s="47"/>
    </row>
    <row r="113">
      <c r="B113" s="47"/>
    </row>
    <row r="114">
      <c r="B114" s="47"/>
    </row>
    <row r="115">
      <c r="B115" s="47"/>
    </row>
    <row r="116">
      <c r="B116" s="47"/>
    </row>
    <row r="117">
      <c r="B117" s="47"/>
    </row>
    <row r="118">
      <c r="B118" s="47"/>
    </row>
    <row r="119">
      <c r="B119" s="47"/>
    </row>
    <row r="120">
      <c r="B120" s="47"/>
    </row>
    <row r="121">
      <c r="B121" s="47"/>
    </row>
    <row r="122">
      <c r="B122" s="47"/>
    </row>
    <row r="123">
      <c r="B123" s="47"/>
    </row>
    <row r="124">
      <c r="B124" s="47"/>
    </row>
    <row r="125">
      <c r="B125" s="47"/>
    </row>
    <row r="126">
      <c r="B126" s="47"/>
    </row>
    <row r="127">
      <c r="B127" s="47"/>
    </row>
    <row r="128">
      <c r="B128" s="47"/>
    </row>
    <row r="129">
      <c r="B129" s="47"/>
    </row>
    <row r="130">
      <c r="B130" s="47"/>
    </row>
    <row r="131">
      <c r="B131" s="47"/>
    </row>
    <row r="132">
      <c r="B132" s="47"/>
    </row>
    <row r="133">
      <c r="B133" s="47"/>
    </row>
    <row r="134">
      <c r="B134" s="47"/>
    </row>
    <row r="135">
      <c r="B135" s="47"/>
    </row>
    <row r="136">
      <c r="B136" s="47"/>
    </row>
    <row r="137">
      <c r="B137" s="47"/>
    </row>
    <row r="138">
      <c r="B138" s="47"/>
    </row>
    <row r="139">
      <c r="B139" s="47"/>
    </row>
    <row r="140">
      <c r="B140" s="47"/>
    </row>
    <row r="141">
      <c r="B141" s="47"/>
    </row>
    <row r="142">
      <c r="B142" s="47"/>
    </row>
    <row r="143">
      <c r="B143" s="47"/>
    </row>
    <row r="144">
      <c r="B144" s="47"/>
    </row>
    <row r="145">
      <c r="B145" s="47"/>
    </row>
    <row r="146">
      <c r="B146" s="47"/>
    </row>
    <row r="147">
      <c r="B147" s="47"/>
    </row>
    <row r="148">
      <c r="B148" s="47"/>
    </row>
    <row r="149">
      <c r="B149" s="47"/>
    </row>
    <row r="150">
      <c r="B150" s="47"/>
    </row>
    <row r="151">
      <c r="B151" s="47"/>
    </row>
    <row r="152">
      <c r="B152" s="47"/>
    </row>
    <row r="153">
      <c r="B153" s="47"/>
    </row>
    <row r="154">
      <c r="B154" s="47"/>
    </row>
    <row r="155">
      <c r="B155" s="47"/>
    </row>
    <row r="156">
      <c r="B156" s="47"/>
    </row>
    <row r="157">
      <c r="B157" s="47"/>
    </row>
    <row r="158">
      <c r="B158" s="47"/>
    </row>
    <row r="159">
      <c r="B159" s="47"/>
    </row>
    <row r="160">
      <c r="B160" s="47"/>
    </row>
    <row r="161">
      <c r="B161" s="47"/>
    </row>
    <row r="162">
      <c r="B162" s="47"/>
    </row>
    <row r="163">
      <c r="B163" s="47"/>
    </row>
    <row r="164">
      <c r="B164" s="47"/>
    </row>
    <row r="165">
      <c r="B165" s="47"/>
    </row>
    <row r="166">
      <c r="B166" s="47"/>
    </row>
    <row r="167">
      <c r="B167" s="47"/>
    </row>
    <row r="168">
      <c r="B168" s="47"/>
    </row>
    <row r="169">
      <c r="B169" s="47"/>
    </row>
    <row r="170">
      <c r="B170" s="47"/>
    </row>
    <row r="171">
      <c r="B171" s="47"/>
    </row>
    <row r="172">
      <c r="B172" s="47"/>
    </row>
    <row r="173">
      <c r="B173" s="47"/>
    </row>
    <row r="174">
      <c r="B174" s="47"/>
    </row>
    <row r="175">
      <c r="B175" s="47"/>
    </row>
    <row r="176">
      <c r="B176" s="47"/>
    </row>
    <row r="177">
      <c r="B177" s="47"/>
    </row>
    <row r="178">
      <c r="B178" s="47"/>
    </row>
    <row r="179">
      <c r="B179" s="47"/>
    </row>
    <row r="180">
      <c r="B180" s="47"/>
    </row>
    <row r="181">
      <c r="B181" s="47"/>
    </row>
    <row r="182">
      <c r="B182" s="47"/>
    </row>
    <row r="183">
      <c r="B183" s="47"/>
    </row>
    <row r="184">
      <c r="B184" s="47"/>
    </row>
    <row r="185">
      <c r="B185" s="47"/>
    </row>
    <row r="186">
      <c r="B186" s="47"/>
    </row>
    <row r="187">
      <c r="B187" s="47"/>
    </row>
    <row r="188">
      <c r="B188" s="47"/>
    </row>
    <row r="189">
      <c r="B189" s="47"/>
    </row>
    <row r="190">
      <c r="B190" s="47"/>
    </row>
    <row r="191">
      <c r="B191" s="47"/>
    </row>
    <row r="192">
      <c r="B192" s="47"/>
    </row>
    <row r="193">
      <c r="B193" s="47"/>
    </row>
    <row r="194">
      <c r="B194" s="47"/>
    </row>
    <row r="195">
      <c r="B195" s="47"/>
    </row>
    <row r="196">
      <c r="B196" s="47"/>
    </row>
    <row r="197">
      <c r="B197" s="47"/>
    </row>
    <row r="198">
      <c r="B198" s="47"/>
    </row>
    <row r="199">
      <c r="B199" s="47"/>
    </row>
    <row r="200">
      <c r="B200" s="47"/>
    </row>
    <row r="201">
      <c r="B201" s="47"/>
    </row>
    <row r="202">
      <c r="B202" s="47"/>
    </row>
    <row r="203">
      <c r="B203" s="47"/>
    </row>
    <row r="204">
      <c r="B204" s="47"/>
    </row>
    <row r="205">
      <c r="B205" s="47"/>
    </row>
    <row r="206">
      <c r="B206" s="47"/>
    </row>
    <row r="207">
      <c r="B207" s="47"/>
    </row>
    <row r="208">
      <c r="B208" s="47"/>
    </row>
    <row r="209">
      <c r="B209" s="47"/>
    </row>
    <row r="210">
      <c r="B210" s="47"/>
    </row>
    <row r="211">
      <c r="B211" s="47"/>
    </row>
    <row r="212">
      <c r="B212" s="47"/>
    </row>
    <row r="213">
      <c r="B213" s="47"/>
    </row>
    <row r="214">
      <c r="B214" s="47"/>
    </row>
    <row r="215">
      <c r="B215" s="47"/>
    </row>
    <row r="216">
      <c r="B216" s="47"/>
    </row>
    <row r="217">
      <c r="B217" s="47"/>
    </row>
    <row r="218">
      <c r="B218" s="47"/>
    </row>
    <row r="219">
      <c r="B219" s="47"/>
    </row>
    <row r="220">
      <c r="B220" s="47"/>
    </row>
    <row r="221">
      <c r="B221" s="47"/>
    </row>
    <row r="222">
      <c r="B222" s="47"/>
    </row>
    <row r="223">
      <c r="B223" s="47"/>
    </row>
    <row r="224">
      <c r="B224" s="47"/>
    </row>
    <row r="225">
      <c r="B225" s="47"/>
    </row>
    <row r="226">
      <c r="B226" s="47"/>
    </row>
    <row r="227">
      <c r="B227" s="47"/>
    </row>
    <row r="228">
      <c r="B228" s="47"/>
    </row>
    <row r="229">
      <c r="B229" s="47"/>
    </row>
    <row r="230">
      <c r="B230" s="47"/>
    </row>
    <row r="231">
      <c r="B231" s="47"/>
    </row>
    <row r="232">
      <c r="B232" s="47"/>
    </row>
    <row r="233">
      <c r="B233" s="47"/>
    </row>
    <row r="234">
      <c r="B234" s="47"/>
    </row>
    <row r="235">
      <c r="B235" s="47"/>
    </row>
    <row r="236">
      <c r="B236" s="47"/>
    </row>
    <row r="237">
      <c r="B237" s="47"/>
    </row>
    <row r="238">
      <c r="B238" s="47"/>
    </row>
    <row r="239">
      <c r="B239" s="47"/>
    </row>
    <row r="240">
      <c r="B240" s="47"/>
    </row>
    <row r="241">
      <c r="B241" s="47"/>
    </row>
    <row r="242">
      <c r="B242" s="47"/>
    </row>
    <row r="243">
      <c r="B243" s="47"/>
    </row>
    <row r="244">
      <c r="B244" s="47"/>
    </row>
    <row r="245">
      <c r="B245" s="47"/>
    </row>
    <row r="246">
      <c r="B246" s="47"/>
    </row>
    <row r="247">
      <c r="B247" s="47"/>
    </row>
    <row r="248">
      <c r="B248" s="47"/>
    </row>
    <row r="249">
      <c r="B249" s="47"/>
    </row>
    <row r="250">
      <c r="B250" s="47"/>
    </row>
    <row r="251">
      <c r="B251" s="47"/>
    </row>
    <row r="252">
      <c r="B252" s="47"/>
    </row>
    <row r="253">
      <c r="B253" s="47"/>
    </row>
    <row r="254">
      <c r="B254" s="47"/>
    </row>
    <row r="255">
      <c r="B255" s="47"/>
    </row>
    <row r="256">
      <c r="B256" s="47"/>
    </row>
    <row r="257">
      <c r="B257" s="47"/>
    </row>
    <row r="258">
      <c r="B258" s="47"/>
    </row>
    <row r="259">
      <c r="B259" s="47"/>
    </row>
    <row r="260">
      <c r="B260" s="47"/>
    </row>
    <row r="261">
      <c r="B261" s="47"/>
    </row>
    <row r="262">
      <c r="B262" s="47"/>
    </row>
    <row r="263">
      <c r="B263" s="47"/>
    </row>
    <row r="264">
      <c r="B264" s="47"/>
    </row>
    <row r="265">
      <c r="B265" s="47"/>
    </row>
    <row r="266">
      <c r="B266" s="47"/>
    </row>
    <row r="267">
      <c r="B267" s="47"/>
    </row>
    <row r="268">
      <c r="B268" s="47"/>
    </row>
    <row r="269">
      <c r="B269" s="47"/>
    </row>
    <row r="270">
      <c r="B270" s="47"/>
    </row>
    <row r="271">
      <c r="B271" s="47"/>
    </row>
    <row r="272">
      <c r="B272" s="47"/>
    </row>
    <row r="273">
      <c r="B273" s="47"/>
    </row>
    <row r="274">
      <c r="B274" s="47"/>
    </row>
    <row r="275">
      <c r="B275" s="47"/>
    </row>
    <row r="276">
      <c r="B276" s="47"/>
    </row>
    <row r="277">
      <c r="B277" s="47"/>
    </row>
    <row r="278">
      <c r="B278" s="47"/>
    </row>
    <row r="279">
      <c r="B279" s="47"/>
    </row>
    <row r="280">
      <c r="B280" s="47"/>
    </row>
    <row r="281">
      <c r="B281" s="47"/>
    </row>
    <row r="282">
      <c r="B282" s="47"/>
    </row>
    <row r="283">
      <c r="B283" s="47"/>
    </row>
    <row r="284">
      <c r="B284" s="47"/>
    </row>
    <row r="285">
      <c r="B285" s="47"/>
    </row>
    <row r="286">
      <c r="B286" s="47"/>
    </row>
    <row r="287">
      <c r="B287" s="47"/>
    </row>
    <row r="288">
      <c r="B288" s="47"/>
    </row>
    <row r="289">
      <c r="B289" s="47"/>
    </row>
    <row r="290">
      <c r="B290" s="47"/>
    </row>
    <row r="291">
      <c r="B291" s="47"/>
    </row>
    <row r="292">
      <c r="B292" s="47"/>
    </row>
    <row r="293">
      <c r="B293" s="47"/>
    </row>
    <row r="294">
      <c r="B294" s="47"/>
    </row>
    <row r="295">
      <c r="B295" s="47"/>
    </row>
    <row r="296">
      <c r="B296" s="47"/>
    </row>
    <row r="297">
      <c r="B297" s="47"/>
    </row>
    <row r="298">
      <c r="B298" s="47"/>
    </row>
    <row r="299">
      <c r="B299" s="47"/>
    </row>
    <row r="300">
      <c r="B300" s="47"/>
    </row>
    <row r="301">
      <c r="B301" s="47"/>
    </row>
    <row r="302">
      <c r="B302" s="47"/>
    </row>
    <row r="303">
      <c r="B303" s="47"/>
    </row>
    <row r="304">
      <c r="B304" s="47"/>
    </row>
    <row r="305">
      <c r="B305" s="47"/>
    </row>
    <row r="306">
      <c r="B306" s="47"/>
    </row>
    <row r="307">
      <c r="B307" s="47"/>
    </row>
    <row r="308">
      <c r="B308" s="47"/>
    </row>
    <row r="309">
      <c r="B309" s="47"/>
    </row>
    <row r="310">
      <c r="B310" s="47"/>
    </row>
    <row r="311">
      <c r="B311" s="47"/>
    </row>
    <row r="312">
      <c r="B312" s="47"/>
    </row>
    <row r="313">
      <c r="B313" s="47"/>
    </row>
    <row r="314">
      <c r="B314" s="47"/>
    </row>
    <row r="315">
      <c r="B315" s="47"/>
    </row>
    <row r="316">
      <c r="B316" s="47"/>
    </row>
    <row r="317">
      <c r="B317" s="47"/>
    </row>
    <row r="318">
      <c r="B318" s="47"/>
    </row>
    <row r="319">
      <c r="B319" s="47"/>
    </row>
    <row r="320">
      <c r="B320" s="47"/>
    </row>
    <row r="321">
      <c r="B321" s="47"/>
    </row>
    <row r="322">
      <c r="B322" s="47"/>
    </row>
    <row r="323">
      <c r="B323" s="47"/>
    </row>
    <row r="324">
      <c r="B324" s="47"/>
    </row>
    <row r="325">
      <c r="B325" s="47"/>
    </row>
    <row r="326">
      <c r="B326" s="47"/>
    </row>
    <row r="327">
      <c r="B327" s="47"/>
    </row>
    <row r="328">
      <c r="B328" s="47"/>
    </row>
    <row r="329">
      <c r="B329" s="47"/>
    </row>
    <row r="330">
      <c r="B330" s="47"/>
    </row>
    <row r="331">
      <c r="B331" s="47"/>
    </row>
    <row r="332">
      <c r="B332" s="47"/>
    </row>
    <row r="333">
      <c r="B333" s="47"/>
    </row>
    <row r="334">
      <c r="B334" s="47"/>
    </row>
    <row r="335">
      <c r="B335" s="47"/>
    </row>
    <row r="336">
      <c r="B336" s="47"/>
    </row>
    <row r="337">
      <c r="B337" s="47"/>
    </row>
    <row r="338">
      <c r="B338" s="47"/>
    </row>
    <row r="339">
      <c r="B339" s="47"/>
    </row>
    <row r="340">
      <c r="B340" s="47"/>
    </row>
    <row r="341">
      <c r="B341" s="47"/>
    </row>
    <row r="342">
      <c r="B342" s="47"/>
    </row>
    <row r="343">
      <c r="B343" s="47"/>
    </row>
    <row r="344">
      <c r="B344" s="47"/>
    </row>
    <row r="345">
      <c r="B345" s="47"/>
    </row>
    <row r="346">
      <c r="B346" s="47"/>
    </row>
    <row r="347">
      <c r="B347" s="47"/>
    </row>
    <row r="348">
      <c r="B348" s="47"/>
    </row>
    <row r="349">
      <c r="B349" s="47"/>
    </row>
    <row r="350">
      <c r="B350" s="47"/>
    </row>
    <row r="351">
      <c r="B351" s="47"/>
    </row>
    <row r="352">
      <c r="B352" s="47"/>
    </row>
    <row r="353">
      <c r="B353" s="47"/>
    </row>
    <row r="354">
      <c r="B354" s="47"/>
    </row>
    <row r="355">
      <c r="B355" s="47"/>
    </row>
    <row r="356">
      <c r="B356" s="47"/>
    </row>
    <row r="357">
      <c r="B357" s="47"/>
    </row>
    <row r="358">
      <c r="B358" s="47"/>
    </row>
    <row r="359">
      <c r="B359" s="47"/>
    </row>
    <row r="360">
      <c r="B360" s="47"/>
    </row>
    <row r="361">
      <c r="B361" s="47"/>
    </row>
    <row r="362">
      <c r="B362" s="47"/>
    </row>
    <row r="363">
      <c r="B363" s="47"/>
    </row>
    <row r="364">
      <c r="B364" s="47"/>
    </row>
    <row r="365">
      <c r="B365" s="47"/>
    </row>
    <row r="366">
      <c r="B366" s="47"/>
    </row>
    <row r="367">
      <c r="B367" s="47"/>
    </row>
    <row r="368">
      <c r="B368" s="47"/>
    </row>
    <row r="369">
      <c r="B369" s="47"/>
    </row>
    <row r="370">
      <c r="B370" s="47"/>
    </row>
    <row r="371">
      <c r="B371" s="47"/>
    </row>
    <row r="372">
      <c r="B372" s="47"/>
    </row>
    <row r="373">
      <c r="B373" s="47"/>
    </row>
    <row r="374">
      <c r="B374" s="47"/>
    </row>
    <row r="375">
      <c r="B375" s="47"/>
    </row>
    <row r="376">
      <c r="B376" s="47"/>
    </row>
    <row r="377">
      <c r="B377" s="47"/>
    </row>
    <row r="378">
      <c r="B378" s="47"/>
    </row>
    <row r="379">
      <c r="B379" s="47"/>
    </row>
    <row r="380">
      <c r="B380" s="47"/>
    </row>
    <row r="381">
      <c r="B381" s="47"/>
    </row>
    <row r="382">
      <c r="B382" s="47"/>
    </row>
    <row r="383">
      <c r="B383" s="47"/>
    </row>
    <row r="384">
      <c r="B384" s="47"/>
    </row>
    <row r="385">
      <c r="B385" s="47"/>
    </row>
    <row r="386">
      <c r="B386" s="47"/>
    </row>
    <row r="387">
      <c r="B387" s="47"/>
    </row>
    <row r="388">
      <c r="B388" s="47"/>
    </row>
    <row r="389">
      <c r="B389" s="47"/>
    </row>
    <row r="390">
      <c r="B390" s="47"/>
    </row>
    <row r="391">
      <c r="B391" s="47"/>
    </row>
    <row r="392">
      <c r="B392" s="47"/>
    </row>
    <row r="393">
      <c r="B393" s="47"/>
    </row>
    <row r="394">
      <c r="B394" s="47"/>
    </row>
    <row r="395">
      <c r="B395" s="47"/>
    </row>
    <row r="396">
      <c r="B396" s="47"/>
    </row>
    <row r="397">
      <c r="B397" s="47"/>
    </row>
    <row r="398">
      <c r="B398" s="47"/>
    </row>
    <row r="399">
      <c r="B399" s="47"/>
    </row>
    <row r="400">
      <c r="B400" s="47"/>
    </row>
    <row r="401">
      <c r="B401" s="47"/>
    </row>
    <row r="402">
      <c r="B402" s="47"/>
    </row>
    <row r="403">
      <c r="B403" s="47"/>
    </row>
    <row r="404">
      <c r="B404" s="47"/>
    </row>
    <row r="405">
      <c r="B405" s="47"/>
    </row>
    <row r="406">
      <c r="B406" s="47"/>
    </row>
    <row r="407">
      <c r="B407" s="47"/>
    </row>
    <row r="408">
      <c r="B408" s="47"/>
    </row>
    <row r="409">
      <c r="B409" s="47"/>
    </row>
    <row r="410">
      <c r="B410" s="47"/>
    </row>
    <row r="411">
      <c r="B411" s="47"/>
    </row>
    <row r="412">
      <c r="B412" s="47"/>
    </row>
    <row r="413">
      <c r="B413" s="47"/>
    </row>
    <row r="414">
      <c r="B414" s="47"/>
    </row>
    <row r="415">
      <c r="B415" s="47"/>
    </row>
    <row r="416">
      <c r="B416" s="47"/>
    </row>
    <row r="417">
      <c r="B417" s="47"/>
    </row>
    <row r="418">
      <c r="B418" s="47"/>
    </row>
    <row r="419">
      <c r="B419" s="47"/>
    </row>
    <row r="420">
      <c r="B420" s="47"/>
    </row>
    <row r="421">
      <c r="B421" s="47"/>
    </row>
    <row r="422">
      <c r="B422" s="47"/>
    </row>
    <row r="423">
      <c r="B423" s="47"/>
    </row>
    <row r="424">
      <c r="B424" s="47"/>
    </row>
    <row r="425">
      <c r="B425" s="47"/>
    </row>
    <row r="426">
      <c r="B426" s="47"/>
    </row>
    <row r="427">
      <c r="B427" s="47"/>
    </row>
    <row r="428">
      <c r="B428" s="47"/>
    </row>
    <row r="429">
      <c r="B429" s="47"/>
    </row>
    <row r="430">
      <c r="B430" s="47"/>
    </row>
    <row r="431">
      <c r="B431" s="47"/>
    </row>
    <row r="432">
      <c r="B432" s="47"/>
    </row>
    <row r="433">
      <c r="B433" s="47"/>
    </row>
    <row r="434">
      <c r="B434" s="47"/>
    </row>
    <row r="435">
      <c r="B435" s="47"/>
    </row>
    <row r="436">
      <c r="B436" s="47"/>
    </row>
    <row r="437">
      <c r="B437" s="47"/>
    </row>
    <row r="438">
      <c r="B438" s="47"/>
    </row>
    <row r="439">
      <c r="B439" s="47"/>
    </row>
    <row r="440">
      <c r="B440" s="47"/>
    </row>
    <row r="441">
      <c r="B441" s="47"/>
    </row>
    <row r="442">
      <c r="B442" s="47"/>
    </row>
    <row r="443">
      <c r="B443" s="47"/>
    </row>
    <row r="444">
      <c r="B444" s="47"/>
    </row>
    <row r="445">
      <c r="B445" s="47"/>
    </row>
    <row r="446">
      <c r="B446" s="47"/>
    </row>
    <row r="447">
      <c r="B447" s="47"/>
    </row>
    <row r="448">
      <c r="B448" s="47"/>
    </row>
    <row r="449">
      <c r="B449" s="47"/>
    </row>
    <row r="450">
      <c r="B450" s="47"/>
    </row>
    <row r="451">
      <c r="B451" s="47"/>
    </row>
    <row r="452">
      <c r="B452" s="47"/>
    </row>
    <row r="453">
      <c r="B453" s="47"/>
    </row>
    <row r="454">
      <c r="B454" s="47"/>
    </row>
    <row r="455">
      <c r="B455" s="47"/>
    </row>
    <row r="456">
      <c r="B456" s="47"/>
    </row>
    <row r="457">
      <c r="B457" s="47"/>
    </row>
    <row r="458">
      <c r="B458" s="47"/>
    </row>
    <row r="459">
      <c r="B459" s="47"/>
    </row>
    <row r="460">
      <c r="B460" s="47"/>
    </row>
    <row r="461">
      <c r="B461" s="47"/>
    </row>
    <row r="462">
      <c r="B462" s="47"/>
    </row>
    <row r="463">
      <c r="B463" s="47"/>
    </row>
    <row r="464">
      <c r="B464" s="47"/>
    </row>
    <row r="465">
      <c r="B465" s="47"/>
    </row>
    <row r="466">
      <c r="B466" s="47"/>
    </row>
    <row r="467">
      <c r="B467" s="47"/>
    </row>
    <row r="468">
      <c r="B468" s="47"/>
    </row>
    <row r="469">
      <c r="B469" s="47"/>
    </row>
    <row r="470">
      <c r="B470" s="47"/>
    </row>
    <row r="471">
      <c r="B471" s="47"/>
    </row>
    <row r="472">
      <c r="B472" s="47"/>
    </row>
    <row r="473">
      <c r="B473" s="47"/>
    </row>
    <row r="474">
      <c r="B474" s="47"/>
    </row>
    <row r="475">
      <c r="B475" s="47"/>
    </row>
    <row r="476">
      <c r="B476" s="47"/>
    </row>
    <row r="477">
      <c r="B477" s="47"/>
    </row>
    <row r="478">
      <c r="B478" s="47"/>
    </row>
    <row r="479">
      <c r="B479" s="47"/>
    </row>
    <row r="480">
      <c r="B480" s="47"/>
    </row>
    <row r="481">
      <c r="B481" s="47"/>
    </row>
    <row r="482">
      <c r="B482" s="47"/>
    </row>
    <row r="483">
      <c r="B483" s="47"/>
    </row>
    <row r="484">
      <c r="B484" s="47"/>
    </row>
    <row r="485">
      <c r="B485" s="47"/>
    </row>
    <row r="486">
      <c r="B486" s="47"/>
    </row>
    <row r="487">
      <c r="B487" s="47"/>
    </row>
    <row r="488">
      <c r="B488" s="47"/>
    </row>
    <row r="489">
      <c r="B489" s="47"/>
    </row>
    <row r="490">
      <c r="B490" s="47"/>
    </row>
    <row r="491">
      <c r="B491" s="47"/>
    </row>
    <row r="492">
      <c r="B492" s="47"/>
    </row>
    <row r="493">
      <c r="B493" s="47"/>
    </row>
    <row r="494">
      <c r="B494" s="47"/>
    </row>
    <row r="495">
      <c r="B495" s="47"/>
    </row>
    <row r="496">
      <c r="B496" s="47"/>
    </row>
    <row r="497">
      <c r="B497" s="47"/>
    </row>
    <row r="498">
      <c r="B498" s="47"/>
    </row>
    <row r="499">
      <c r="B499" s="47"/>
    </row>
    <row r="500">
      <c r="B500" s="47"/>
    </row>
    <row r="501">
      <c r="B501" s="47"/>
    </row>
    <row r="502">
      <c r="B502" s="47"/>
    </row>
    <row r="503">
      <c r="B503" s="47"/>
    </row>
    <row r="504">
      <c r="B504" s="47"/>
    </row>
    <row r="505">
      <c r="B505" s="47"/>
    </row>
    <row r="506">
      <c r="B506" s="47"/>
    </row>
    <row r="507">
      <c r="B507" s="47"/>
    </row>
    <row r="508">
      <c r="B508" s="47"/>
    </row>
    <row r="509">
      <c r="B509" s="47"/>
    </row>
    <row r="510">
      <c r="B510" s="47"/>
    </row>
    <row r="511">
      <c r="B511" s="47"/>
    </row>
    <row r="512">
      <c r="B512" s="47"/>
    </row>
    <row r="513">
      <c r="B513" s="47"/>
    </row>
    <row r="514">
      <c r="B514" s="47"/>
    </row>
    <row r="515">
      <c r="B515" s="47"/>
    </row>
    <row r="516">
      <c r="B516" s="47"/>
    </row>
    <row r="517">
      <c r="B517" s="47"/>
    </row>
    <row r="518">
      <c r="B518" s="47"/>
    </row>
    <row r="519">
      <c r="B519" s="47"/>
    </row>
    <row r="520">
      <c r="B520" s="47"/>
    </row>
    <row r="521">
      <c r="B521" s="47"/>
    </row>
    <row r="522">
      <c r="B522" s="47"/>
    </row>
    <row r="523">
      <c r="B523" s="47"/>
    </row>
    <row r="524">
      <c r="B524" s="47"/>
    </row>
    <row r="525">
      <c r="B525" s="47"/>
    </row>
    <row r="526">
      <c r="B526" s="47"/>
    </row>
    <row r="527">
      <c r="B527" s="47"/>
    </row>
    <row r="528">
      <c r="B528" s="47"/>
    </row>
    <row r="529">
      <c r="B529" s="47"/>
    </row>
    <row r="530">
      <c r="B530" s="47"/>
    </row>
    <row r="531">
      <c r="B531" s="47"/>
    </row>
    <row r="532">
      <c r="B532" s="47"/>
    </row>
    <row r="533">
      <c r="B533" s="47"/>
    </row>
    <row r="534">
      <c r="B534" s="47"/>
    </row>
    <row r="535">
      <c r="B535" s="47"/>
    </row>
    <row r="536">
      <c r="B536" s="47"/>
    </row>
    <row r="537">
      <c r="B537" s="47"/>
    </row>
    <row r="538">
      <c r="B538" s="47"/>
    </row>
    <row r="539">
      <c r="B539" s="47"/>
    </row>
    <row r="540">
      <c r="B540" s="47"/>
    </row>
    <row r="541">
      <c r="B541" s="47"/>
    </row>
    <row r="542">
      <c r="B542" s="47"/>
    </row>
    <row r="543">
      <c r="B543" s="47"/>
    </row>
    <row r="544">
      <c r="B544" s="47"/>
    </row>
    <row r="545">
      <c r="B545" s="47"/>
    </row>
    <row r="546">
      <c r="B546" s="47"/>
    </row>
    <row r="547">
      <c r="B547" s="47"/>
    </row>
    <row r="548">
      <c r="B548" s="47"/>
    </row>
    <row r="549">
      <c r="B549" s="47"/>
    </row>
    <row r="550">
      <c r="B550" s="47"/>
    </row>
    <row r="551">
      <c r="B551" s="47"/>
    </row>
    <row r="552">
      <c r="B552" s="47"/>
    </row>
    <row r="553">
      <c r="B553" s="47"/>
    </row>
    <row r="554">
      <c r="B554" s="47"/>
    </row>
    <row r="555">
      <c r="B555" s="47"/>
    </row>
    <row r="556">
      <c r="B556" s="47"/>
    </row>
    <row r="557">
      <c r="B557" s="47"/>
    </row>
    <row r="558">
      <c r="B558" s="47"/>
    </row>
    <row r="559">
      <c r="B559" s="47"/>
    </row>
    <row r="560">
      <c r="B560" s="47"/>
    </row>
    <row r="561">
      <c r="B561" s="47"/>
    </row>
    <row r="562">
      <c r="B562" s="47"/>
    </row>
    <row r="563">
      <c r="B563" s="47"/>
    </row>
    <row r="564">
      <c r="B564" s="47"/>
    </row>
    <row r="565">
      <c r="B565" s="47"/>
    </row>
    <row r="566">
      <c r="B566" s="47"/>
    </row>
    <row r="567">
      <c r="B567" s="47"/>
    </row>
    <row r="568">
      <c r="B568" s="47"/>
    </row>
    <row r="569">
      <c r="B569" s="47"/>
    </row>
    <row r="570">
      <c r="B570" s="47"/>
    </row>
    <row r="571">
      <c r="B571" s="47"/>
    </row>
    <row r="572">
      <c r="B572" s="47"/>
    </row>
    <row r="573">
      <c r="B573" s="47"/>
    </row>
    <row r="574">
      <c r="B574" s="47"/>
    </row>
    <row r="575">
      <c r="B575" s="47"/>
    </row>
    <row r="576">
      <c r="B576" s="47"/>
    </row>
    <row r="577">
      <c r="B577" s="47"/>
    </row>
    <row r="578">
      <c r="B578" s="47"/>
    </row>
    <row r="579">
      <c r="B579" s="47"/>
    </row>
    <row r="580">
      <c r="B580" s="47"/>
    </row>
    <row r="581">
      <c r="B581" s="47"/>
    </row>
    <row r="582">
      <c r="B582" s="47"/>
    </row>
    <row r="583">
      <c r="B583" s="47"/>
    </row>
    <row r="584">
      <c r="B584" s="47"/>
    </row>
    <row r="585">
      <c r="B585" s="47"/>
    </row>
    <row r="586">
      <c r="B586" s="47"/>
    </row>
    <row r="587">
      <c r="B587" s="47"/>
    </row>
    <row r="588">
      <c r="B588" s="47"/>
    </row>
    <row r="589">
      <c r="B589" s="47"/>
    </row>
    <row r="590">
      <c r="B590" s="47"/>
    </row>
    <row r="591">
      <c r="B591" s="47"/>
    </row>
    <row r="592">
      <c r="B592" s="47"/>
    </row>
    <row r="593">
      <c r="B593" s="47"/>
    </row>
    <row r="594">
      <c r="B594" s="47"/>
    </row>
    <row r="595">
      <c r="B595" s="47"/>
    </row>
    <row r="596">
      <c r="B596" s="47"/>
    </row>
    <row r="597">
      <c r="B597" s="47"/>
    </row>
    <row r="598">
      <c r="B598" s="47"/>
    </row>
    <row r="599">
      <c r="B599" s="47"/>
    </row>
    <row r="600">
      <c r="B600" s="47"/>
    </row>
    <row r="601">
      <c r="B601" s="47"/>
    </row>
    <row r="602">
      <c r="B602" s="47"/>
    </row>
    <row r="603">
      <c r="B603" s="47"/>
    </row>
    <row r="604">
      <c r="B604" s="47"/>
    </row>
    <row r="605">
      <c r="B605" s="47"/>
    </row>
    <row r="606">
      <c r="B606" s="47"/>
    </row>
    <row r="607">
      <c r="B607" s="47"/>
    </row>
    <row r="608">
      <c r="B608" s="47"/>
    </row>
    <row r="609">
      <c r="B609" s="47"/>
    </row>
    <row r="610">
      <c r="B610" s="47"/>
    </row>
    <row r="611">
      <c r="B611" s="47"/>
    </row>
    <row r="612">
      <c r="B612" s="47"/>
    </row>
    <row r="613">
      <c r="B613" s="47"/>
    </row>
    <row r="614">
      <c r="B614" s="47"/>
    </row>
    <row r="615">
      <c r="B615" s="47"/>
    </row>
    <row r="616">
      <c r="B616" s="47"/>
    </row>
    <row r="617">
      <c r="B617" s="47"/>
    </row>
    <row r="618">
      <c r="B618" s="47"/>
    </row>
    <row r="619">
      <c r="B619" s="47"/>
    </row>
    <row r="620">
      <c r="B620" s="47"/>
    </row>
    <row r="621">
      <c r="B621" s="47"/>
    </row>
    <row r="622">
      <c r="B622" s="47"/>
    </row>
    <row r="623">
      <c r="B623" s="47"/>
    </row>
    <row r="624">
      <c r="B624" s="47"/>
    </row>
    <row r="625">
      <c r="B625" s="47"/>
    </row>
    <row r="626">
      <c r="B626" s="47"/>
    </row>
    <row r="627">
      <c r="B627" s="47"/>
    </row>
    <row r="628">
      <c r="B628" s="47"/>
    </row>
    <row r="629">
      <c r="B629" s="47"/>
    </row>
    <row r="630">
      <c r="B630" s="47"/>
    </row>
    <row r="631">
      <c r="B631" s="47"/>
    </row>
    <row r="632">
      <c r="B632" s="47"/>
    </row>
    <row r="633">
      <c r="B633" s="47"/>
    </row>
    <row r="634">
      <c r="B634" s="47"/>
    </row>
    <row r="635">
      <c r="B635" s="47"/>
    </row>
    <row r="636">
      <c r="B636" s="47"/>
    </row>
    <row r="637">
      <c r="B637" s="47"/>
    </row>
    <row r="638">
      <c r="B638" s="47"/>
    </row>
    <row r="639">
      <c r="B639" s="47"/>
    </row>
    <row r="640">
      <c r="B640" s="47"/>
    </row>
    <row r="641">
      <c r="B641" s="47"/>
    </row>
    <row r="642">
      <c r="B642" s="47"/>
    </row>
    <row r="643">
      <c r="B643" s="47"/>
    </row>
    <row r="644">
      <c r="B644" s="47"/>
    </row>
    <row r="645">
      <c r="B645" s="47"/>
    </row>
    <row r="646">
      <c r="B646" s="47"/>
    </row>
    <row r="647">
      <c r="B647" s="47"/>
    </row>
    <row r="648">
      <c r="B648" s="47"/>
    </row>
    <row r="649">
      <c r="B649" s="47"/>
    </row>
    <row r="650">
      <c r="B650" s="47"/>
    </row>
    <row r="651">
      <c r="B651" s="47"/>
    </row>
    <row r="652">
      <c r="B652" s="47"/>
    </row>
    <row r="653">
      <c r="B653" s="47"/>
    </row>
    <row r="654">
      <c r="B654" s="47"/>
    </row>
    <row r="655">
      <c r="B655" s="47"/>
    </row>
    <row r="656">
      <c r="B656" s="47"/>
    </row>
    <row r="657">
      <c r="B657" s="47"/>
    </row>
    <row r="658">
      <c r="B658" s="47"/>
    </row>
    <row r="659">
      <c r="B659" s="47"/>
    </row>
    <row r="660">
      <c r="B660" s="47"/>
    </row>
    <row r="661">
      <c r="B661" s="47"/>
    </row>
    <row r="662">
      <c r="B662" s="47"/>
    </row>
    <row r="663">
      <c r="B663" s="47"/>
    </row>
    <row r="664">
      <c r="B664" s="47"/>
    </row>
    <row r="665">
      <c r="B665" s="47"/>
    </row>
    <row r="666">
      <c r="B666" s="47"/>
    </row>
    <row r="667">
      <c r="B667" s="47"/>
    </row>
    <row r="668">
      <c r="B668" s="47"/>
    </row>
    <row r="669">
      <c r="B669" s="47"/>
    </row>
    <row r="670">
      <c r="B670" s="47"/>
    </row>
    <row r="671">
      <c r="B671" s="47"/>
    </row>
    <row r="672">
      <c r="B672" s="47"/>
    </row>
    <row r="673">
      <c r="B673" s="47"/>
    </row>
    <row r="674">
      <c r="B674" s="47"/>
    </row>
    <row r="675">
      <c r="B675" s="47"/>
    </row>
    <row r="676">
      <c r="B676" s="47"/>
    </row>
    <row r="677">
      <c r="B677" s="47"/>
    </row>
    <row r="678">
      <c r="B678" s="47"/>
    </row>
    <row r="679">
      <c r="B679" s="47"/>
    </row>
    <row r="680">
      <c r="B680" s="47"/>
    </row>
    <row r="681">
      <c r="B681" s="47"/>
    </row>
    <row r="682">
      <c r="B682" s="47"/>
    </row>
    <row r="683">
      <c r="B683" s="47"/>
    </row>
    <row r="684">
      <c r="B684" s="47"/>
    </row>
    <row r="685">
      <c r="B685" s="47"/>
    </row>
    <row r="686">
      <c r="B686" s="47"/>
    </row>
    <row r="687">
      <c r="B687" s="47"/>
    </row>
    <row r="688">
      <c r="B688" s="47"/>
    </row>
    <row r="689">
      <c r="B689" s="47"/>
    </row>
    <row r="690">
      <c r="B690" s="47"/>
    </row>
    <row r="691">
      <c r="B691" s="47"/>
    </row>
    <row r="692">
      <c r="B692" s="47"/>
    </row>
    <row r="693">
      <c r="B693" s="47"/>
    </row>
    <row r="694">
      <c r="B694" s="47"/>
    </row>
    <row r="695">
      <c r="B695" s="47"/>
    </row>
    <row r="696">
      <c r="B696" s="47"/>
    </row>
    <row r="697">
      <c r="B697" s="47"/>
    </row>
    <row r="698">
      <c r="B698" s="47"/>
    </row>
    <row r="699">
      <c r="B699" s="47"/>
    </row>
    <row r="700">
      <c r="B700" s="47"/>
    </row>
    <row r="701">
      <c r="B701" s="47"/>
    </row>
    <row r="702">
      <c r="B702" s="47"/>
    </row>
    <row r="703">
      <c r="B703" s="47"/>
    </row>
    <row r="704">
      <c r="B704" s="47"/>
    </row>
    <row r="705">
      <c r="B705" s="47"/>
    </row>
    <row r="706">
      <c r="B706" s="47"/>
    </row>
    <row r="707">
      <c r="B707" s="47"/>
    </row>
    <row r="708">
      <c r="B708" s="47"/>
    </row>
    <row r="709">
      <c r="B709" s="47"/>
    </row>
    <row r="710">
      <c r="B710" s="47"/>
    </row>
    <row r="711">
      <c r="B711" s="47"/>
    </row>
    <row r="712">
      <c r="B712" s="47"/>
    </row>
    <row r="713">
      <c r="B713" s="47"/>
    </row>
    <row r="714">
      <c r="B714" s="47"/>
    </row>
    <row r="715">
      <c r="B715" s="47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  <row r="728">
      <c r="B728" s="47"/>
    </row>
    <row r="729">
      <c r="B729" s="47"/>
    </row>
    <row r="730">
      <c r="B730" s="47"/>
    </row>
    <row r="731">
      <c r="B731" s="47"/>
    </row>
    <row r="732">
      <c r="B732" s="47"/>
    </row>
    <row r="733">
      <c r="B733" s="47"/>
    </row>
    <row r="734">
      <c r="B734" s="47"/>
    </row>
    <row r="735">
      <c r="B735" s="47"/>
    </row>
    <row r="736">
      <c r="B736" s="47"/>
    </row>
    <row r="737">
      <c r="B737" s="47"/>
    </row>
    <row r="738">
      <c r="B738" s="47"/>
    </row>
    <row r="739">
      <c r="B739" s="47"/>
    </row>
    <row r="740">
      <c r="B740" s="47"/>
    </row>
    <row r="741">
      <c r="B741" s="47"/>
    </row>
    <row r="742">
      <c r="B742" s="47"/>
    </row>
    <row r="743">
      <c r="B743" s="47"/>
    </row>
    <row r="744">
      <c r="B744" s="47"/>
    </row>
    <row r="745">
      <c r="B745" s="47"/>
    </row>
    <row r="746">
      <c r="B746" s="47"/>
    </row>
    <row r="747">
      <c r="B747" s="47"/>
    </row>
    <row r="748">
      <c r="B748" s="47"/>
    </row>
    <row r="749">
      <c r="B749" s="47"/>
    </row>
    <row r="750">
      <c r="B750" s="47"/>
    </row>
    <row r="751">
      <c r="B751" s="47"/>
    </row>
    <row r="752">
      <c r="B752" s="47"/>
    </row>
    <row r="753">
      <c r="B753" s="47"/>
    </row>
    <row r="754">
      <c r="B754" s="47"/>
    </row>
    <row r="755">
      <c r="B755" s="47"/>
    </row>
    <row r="756">
      <c r="B756" s="47"/>
    </row>
    <row r="757">
      <c r="B757" s="47"/>
    </row>
    <row r="758">
      <c r="B758" s="47"/>
    </row>
    <row r="759">
      <c r="B759" s="47"/>
    </row>
    <row r="760">
      <c r="B760" s="47"/>
    </row>
    <row r="761">
      <c r="B761" s="47"/>
    </row>
    <row r="762">
      <c r="B762" s="47"/>
    </row>
    <row r="763">
      <c r="B763" s="47"/>
    </row>
    <row r="764">
      <c r="B764" s="47"/>
    </row>
    <row r="765">
      <c r="B765" s="47"/>
    </row>
    <row r="766">
      <c r="B766" s="47"/>
    </row>
    <row r="767">
      <c r="B767" s="47"/>
    </row>
    <row r="768">
      <c r="B768" s="47"/>
    </row>
    <row r="769">
      <c r="B769" s="47"/>
    </row>
    <row r="770">
      <c r="B770" s="47"/>
    </row>
    <row r="771">
      <c r="B771" s="47"/>
    </row>
    <row r="772">
      <c r="B772" s="47"/>
    </row>
    <row r="773">
      <c r="B773" s="47"/>
    </row>
    <row r="774">
      <c r="B774" s="47"/>
    </row>
    <row r="775">
      <c r="B775" s="47"/>
    </row>
    <row r="776">
      <c r="B776" s="47"/>
    </row>
    <row r="777">
      <c r="B777" s="47"/>
    </row>
    <row r="778">
      <c r="B778" s="47"/>
    </row>
    <row r="779">
      <c r="B779" s="47"/>
    </row>
    <row r="780">
      <c r="B780" s="47"/>
    </row>
    <row r="781">
      <c r="B781" s="47"/>
    </row>
    <row r="782">
      <c r="B782" s="47"/>
    </row>
    <row r="783">
      <c r="B783" s="47"/>
    </row>
    <row r="784">
      <c r="B784" s="47"/>
    </row>
    <row r="785">
      <c r="B785" s="47"/>
    </row>
    <row r="786">
      <c r="B786" s="47"/>
    </row>
    <row r="787">
      <c r="B787" s="47"/>
    </row>
    <row r="788">
      <c r="B788" s="47"/>
    </row>
    <row r="789">
      <c r="B789" s="47"/>
    </row>
    <row r="790">
      <c r="B790" s="47"/>
    </row>
    <row r="791">
      <c r="B791" s="47"/>
    </row>
    <row r="792">
      <c r="B792" s="47"/>
    </row>
    <row r="793">
      <c r="B793" s="47"/>
    </row>
    <row r="794">
      <c r="B794" s="47"/>
    </row>
    <row r="795">
      <c r="B795" s="47"/>
    </row>
    <row r="796">
      <c r="B796" s="47"/>
    </row>
    <row r="797">
      <c r="B797" s="47"/>
    </row>
    <row r="798">
      <c r="B798" s="47"/>
    </row>
    <row r="799">
      <c r="B799" s="47"/>
    </row>
    <row r="800">
      <c r="B800" s="47"/>
    </row>
    <row r="801">
      <c r="B801" s="47"/>
    </row>
    <row r="802">
      <c r="B802" s="47"/>
    </row>
    <row r="803">
      <c r="B803" s="47"/>
    </row>
    <row r="804">
      <c r="B804" s="47"/>
    </row>
    <row r="805">
      <c r="B805" s="47"/>
    </row>
    <row r="806">
      <c r="B806" s="47"/>
    </row>
    <row r="807">
      <c r="B807" s="47"/>
    </row>
    <row r="808">
      <c r="B808" s="47"/>
    </row>
    <row r="809">
      <c r="B809" s="47"/>
    </row>
    <row r="810">
      <c r="B810" s="47"/>
    </row>
    <row r="811">
      <c r="B811" s="47"/>
    </row>
    <row r="812">
      <c r="B812" s="47"/>
    </row>
    <row r="813">
      <c r="B813" s="47"/>
    </row>
    <row r="814">
      <c r="B814" s="47"/>
    </row>
    <row r="815">
      <c r="B815" s="47"/>
    </row>
    <row r="816">
      <c r="B816" s="47"/>
    </row>
    <row r="817">
      <c r="B817" s="47"/>
    </row>
    <row r="818">
      <c r="B818" s="47"/>
    </row>
    <row r="819">
      <c r="B819" s="47"/>
    </row>
    <row r="820">
      <c r="B820" s="47"/>
    </row>
    <row r="821">
      <c r="B821" s="47"/>
    </row>
    <row r="822">
      <c r="B822" s="47"/>
    </row>
    <row r="823">
      <c r="B823" s="47"/>
    </row>
    <row r="824">
      <c r="B824" s="47"/>
    </row>
    <row r="825">
      <c r="B825" s="47"/>
    </row>
    <row r="826">
      <c r="B826" s="47"/>
    </row>
    <row r="827">
      <c r="B827" s="47"/>
    </row>
    <row r="828">
      <c r="B828" s="47"/>
    </row>
    <row r="829">
      <c r="B829" s="47"/>
    </row>
    <row r="830">
      <c r="B830" s="47"/>
    </row>
    <row r="831">
      <c r="B831" s="47"/>
    </row>
    <row r="832">
      <c r="B832" s="47"/>
    </row>
    <row r="833">
      <c r="B833" s="47"/>
    </row>
    <row r="834">
      <c r="B834" s="47"/>
    </row>
    <row r="835">
      <c r="B835" s="47"/>
    </row>
    <row r="836">
      <c r="B836" s="47"/>
    </row>
    <row r="837">
      <c r="B837" s="47"/>
    </row>
    <row r="838">
      <c r="B838" s="47"/>
    </row>
    <row r="839">
      <c r="B839" s="47"/>
    </row>
    <row r="840">
      <c r="B840" s="47"/>
    </row>
    <row r="841">
      <c r="B841" s="47"/>
    </row>
    <row r="842">
      <c r="B842" s="47"/>
    </row>
    <row r="843">
      <c r="B843" s="47"/>
    </row>
    <row r="844">
      <c r="B844" s="47"/>
    </row>
    <row r="845">
      <c r="B845" s="47"/>
    </row>
    <row r="846">
      <c r="B846" s="47"/>
    </row>
    <row r="847">
      <c r="B847" s="47"/>
    </row>
    <row r="848">
      <c r="B848" s="47"/>
    </row>
    <row r="849">
      <c r="B849" s="47"/>
    </row>
    <row r="850">
      <c r="B850" s="47"/>
    </row>
    <row r="851">
      <c r="B851" s="47"/>
    </row>
    <row r="852">
      <c r="B852" s="47"/>
    </row>
    <row r="853">
      <c r="B853" s="47"/>
    </row>
    <row r="854">
      <c r="B854" s="47"/>
    </row>
    <row r="855">
      <c r="B855" s="47"/>
    </row>
    <row r="856">
      <c r="B856" s="47"/>
    </row>
    <row r="857">
      <c r="B857" s="47"/>
    </row>
    <row r="858">
      <c r="B858" s="47"/>
    </row>
    <row r="859">
      <c r="B859" s="47"/>
    </row>
    <row r="860">
      <c r="B860" s="47"/>
    </row>
    <row r="861">
      <c r="B861" s="47"/>
    </row>
    <row r="862">
      <c r="B862" s="47"/>
    </row>
    <row r="863">
      <c r="B863" s="47"/>
    </row>
    <row r="864">
      <c r="B864" s="47"/>
    </row>
    <row r="865">
      <c r="B865" s="47"/>
    </row>
    <row r="866">
      <c r="B866" s="47"/>
    </row>
    <row r="867">
      <c r="B867" s="47"/>
    </row>
    <row r="868">
      <c r="B868" s="47"/>
    </row>
    <row r="869">
      <c r="B869" s="47"/>
    </row>
    <row r="870">
      <c r="B870" s="47"/>
    </row>
    <row r="871">
      <c r="B871" s="47"/>
    </row>
    <row r="872">
      <c r="B872" s="47"/>
    </row>
    <row r="873">
      <c r="B873" s="47"/>
    </row>
    <row r="874">
      <c r="B874" s="47"/>
    </row>
    <row r="875">
      <c r="B875" s="47"/>
    </row>
    <row r="876">
      <c r="B876" s="47"/>
    </row>
    <row r="877">
      <c r="B877" s="47"/>
    </row>
    <row r="878">
      <c r="B878" s="47"/>
    </row>
    <row r="879">
      <c r="B879" s="47"/>
    </row>
    <row r="880">
      <c r="B880" s="47"/>
    </row>
    <row r="881">
      <c r="B881" s="47"/>
    </row>
    <row r="882">
      <c r="B882" s="47"/>
    </row>
    <row r="883">
      <c r="B883" s="47"/>
    </row>
    <row r="884">
      <c r="B884" s="47"/>
    </row>
    <row r="885">
      <c r="B885" s="47"/>
    </row>
    <row r="886">
      <c r="B886" s="47"/>
    </row>
    <row r="887">
      <c r="B887" s="47"/>
    </row>
    <row r="888">
      <c r="B888" s="47"/>
    </row>
    <row r="889">
      <c r="B889" s="47"/>
    </row>
    <row r="890">
      <c r="B890" s="47"/>
    </row>
    <row r="891">
      <c r="B891" s="47"/>
    </row>
    <row r="892">
      <c r="B892" s="47"/>
    </row>
    <row r="893">
      <c r="B893" s="47"/>
    </row>
    <row r="894">
      <c r="B894" s="47"/>
    </row>
    <row r="895">
      <c r="B895" s="47"/>
    </row>
    <row r="896">
      <c r="B896" s="47"/>
    </row>
    <row r="897">
      <c r="B897" s="47"/>
    </row>
    <row r="898">
      <c r="B898" s="47"/>
    </row>
    <row r="899">
      <c r="B899" s="47"/>
    </row>
    <row r="900">
      <c r="B900" s="47"/>
    </row>
    <row r="901">
      <c r="B901" s="47"/>
    </row>
    <row r="902">
      <c r="B902" s="47"/>
    </row>
    <row r="903">
      <c r="B903" s="47"/>
    </row>
    <row r="904">
      <c r="B904" s="47"/>
    </row>
    <row r="905">
      <c r="B905" s="47"/>
    </row>
    <row r="906">
      <c r="B906" s="47"/>
    </row>
    <row r="907">
      <c r="B907" s="47"/>
    </row>
    <row r="908">
      <c r="B908" s="47"/>
    </row>
    <row r="909">
      <c r="B909" s="47"/>
    </row>
    <row r="910">
      <c r="B910" s="47"/>
    </row>
    <row r="911">
      <c r="B911" s="47"/>
    </row>
    <row r="912">
      <c r="B912" s="47"/>
    </row>
    <row r="913">
      <c r="B913" s="47"/>
    </row>
    <row r="914">
      <c r="B914" s="47"/>
    </row>
    <row r="915">
      <c r="B915" s="47"/>
    </row>
    <row r="916">
      <c r="B916" s="47"/>
    </row>
    <row r="917">
      <c r="B917" s="47"/>
    </row>
    <row r="918">
      <c r="B918" s="47"/>
    </row>
    <row r="919">
      <c r="B919" s="47"/>
    </row>
    <row r="920">
      <c r="B920" s="47"/>
    </row>
    <row r="921">
      <c r="B921" s="47"/>
    </row>
    <row r="922">
      <c r="B922" s="47"/>
    </row>
    <row r="923">
      <c r="B923" s="47"/>
    </row>
    <row r="924">
      <c r="B924" s="47"/>
    </row>
    <row r="925">
      <c r="B925" s="47"/>
    </row>
    <row r="926">
      <c r="B926" s="47"/>
    </row>
    <row r="927">
      <c r="B927" s="47"/>
    </row>
    <row r="928">
      <c r="B928" s="47"/>
    </row>
    <row r="929">
      <c r="B929" s="47"/>
    </row>
    <row r="930">
      <c r="B930" s="47"/>
    </row>
    <row r="931">
      <c r="B931" s="47"/>
    </row>
    <row r="932">
      <c r="B932" s="47"/>
    </row>
    <row r="933">
      <c r="B933" s="47"/>
    </row>
    <row r="934">
      <c r="B934" s="47"/>
    </row>
    <row r="935">
      <c r="B935" s="47"/>
    </row>
    <row r="936">
      <c r="B936" s="47"/>
    </row>
    <row r="937">
      <c r="B937" s="47"/>
    </row>
    <row r="938">
      <c r="B938" s="47"/>
    </row>
    <row r="939">
      <c r="B939" s="47"/>
    </row>
    <row r="940">
      <c r="B940" s="47"/>
    </row>
    <row r="941">
      <c r="B941" s="47"/>
    </row>
    <row r="942">
      <c r="B942" s="47"/>
    </row>
    <row r="943">
      <c r="B943" s="47"/>
    </row>
    <row r="944">
      <c r="B944" s="47"/>
    </row>
    <row r="945">
      <c r="B945" s="47"/>
    </row>
    <row r="946">
      <c r="B946" s="47"/>
    </row>
    <row r="947">
      <c r="B947" s="47"/>
    </row>
    <row r="948">
      <c r="B948" s="47"/>
    </row>
    <row r="949">
      <c r="B949" s="47"/>
    </row>
    <row r="950">
      <c r="B950" s="47"/>
    </row>
    <row r="951">
      <c r="B951" s="47"/>
    </row>
    <row r="952">
      <c r="B952" s="47"/>
    </row>
    <row r="953">
      <c r="B953" s="47"/>
    </row>
    <row r="954">
      <c r="B954" s="47"/>
    </row>
    <row r="955">
      <c r="B955" s="47"/>
    </row>
    <row r="956">
      <c r="B956" s="47"/>
    </row>
    <row r="957">
      <c r="B957" s="47"/>
    </row>
    <row r="958">
      <c r="B958" s="47"/>
    </row>
    <row r="959">
      <c r="B959" s="47"/>
    </row>
    <row r="960">
      <c r="B960" s="47"/>
    </row>
    <row r="961">
      <c r="B961" s="47"/>
    </row>
    <row r="962">
      <c r="B962" s="47"/>
    </row>
    <row r="963">
      <c r="B963" s="47"/>
    </row>
    <row r="964">
      <c r="B964" s="47"/>
    </row>
    <row r="965">
      <c r="B965" s="47"/>
    </row>
    <row r="966">
      <c r="B966" s="47"/>
    </row>
    <row r="967">
      <c r="B967" s="47"/>
    </row>
    <row r="968">
      <c r="B968" s="47"/>
    </row>
    <row r="969">
      <c r="B969" s="47"/>
    </row>
    <row r="970">
      <c r="B970" s="47"/>
    </row>
    <row r="971">
      <c r="B971" s="47"/>
    </row>
    <row r="972">
      <c r="B972" s="47"/>
    </row>
    <row r="973">
      <c r="B973" s="47"/>
    </row>
    <row r="974">
      <c r="B974" s="47"/>
    </row>
    <row r="975">
      <c r="B975" s="47"/>
    </row>
    <row r="976">
      <c r="B976" s="47"/>
    </row>
    <row r="977">
      <c r="B977" s="47"/>
    </row>
    <row r="978">
      <c r="B978" s="47"/>
    </row>
    <row r="979">
      <c r="B979" s="47"/>
    </row>
    <row r="980">
      <c r="B980" s="47"/>
    </row>
    <row r="981">
      <c r="B981" s="47"/>
    </row>
    <row r="982">
      <c r="B982" s="47"/>
    </row>
    <row r="983">
      <c r="B983" s="47"/>
    </row>
    <row r="984">
      <c r="B984" s="47"/>
    </row>
    <row r="985">
      <c r="B985" s="47"/>
    </row>
    <row r="986">
      <c r="B986" s="47"/>
    </row>
    <row r="987">
      <c r="B987" s="47"/>
    </row>
    <row r="988">
      <c r="B988" s="47"/>
    </row>
    <row r="989">
      <c r="B989" s="47"/>
    </row>
    <row r="990">
      <c r="B990" s="47"/>
    </row>
    <row r="991">
      <c r="B991" s="47"/>
    </row>
    <row r="992">
      <c r="B992" s="47"/>
    </row>
    <row r="993">
      <c r="B993" s="47"/>
    </row>
    <row r="994">
      <c r="B994" s="47"/>
    </row>
    <row r="995">
      <c r="B995" s="47"/>
    </row>
    <row r="996">
      <c r="B996" s="47"/>
    </row>
    <row r="997">
      <c r="B997" s="47"/>
    </row>
    <row r="998">
      <c r="B998" s="47"/>
    </row>
    <row r="999">
      <c r="B999" s="47"/>
    </row>
    <row r="1000">
      <c r="B1000" s="47"/>
    </row>
    <row r="1001">
      <c r="B1001" s="47"/>
    </row>
    <row r="1002">
      <c r="B1002" s="47"/>
    </row>
    <row r="1003">
      <c r="B1003" s="47"/>
    </row>
    <row r="1004">
      <c r="B1004" s="47"/>
    </row>
    <row r="1005">
      <c r="B1005" s="47"/>
    </row>
    <row r="1006">
      <c r="B1006" s="47"/>
    </row>
    <row r="1007">
      <c r="B1007" s="47"/>
    </row>
    <row r="1008">
      <c r="B1008" s="47"/>
    </row>
    <row r="1009">
      <c r="B1009" s="47"/>
    </row>
    <row r="1010">
      <c r="B1010" s="47"/>
    </row>
  </sheetData>
  <mergeCells count="74">
    <mergeCell ref="G74:H74"/>
    <mergeCell ref="G75:H75"/>
    <mergeCell ref="G67:H67"/>
    <mergeCell ref="G68:H68"/>
    <mergeCell ref="G69:H69"/>
    <mergeCell ref="G70:H70"/>
    <mergeCell ref="G71:H71"/>
    <mergeCell ref="G72:H72"/>
    <mergeCell ref="G73:H73"/>
    <mergeCell ref="G77:H77"/>
    <mergeCell ref="G78:H78"/>
    <mergeCell ref="B73:C73"/>
    <mergeCell ref="B74:C74"/>
    <mergeCell ref="B75:C75"/>
    <mergeCell ref="B76:C76"/>
    <mergeCell ref="G76:H76"/>
    <mergeCell ref="B77:C77"/>
    <mergeCell ref="B78:C78"/>
    <mergeCell ref="B79:C79"/>
    <mergeCell ref="G79:H79"/>
    <mergeCell ref="B80:C80"/>
    <mergeCell ref="G80:H80"/>
    <mergeCell ref="B81:C81"/>
    <mergeCell ref="G81:H81"/>
    <mergeCell ref="G82:H82"/>
    <mergeCell ref="G86:H86"/>
    <mergeCell ref="G87:H87"/>
    <mergeCell ref="G88:H88"/>
    <mergeCell ref="B82:C82"/>
    <mergeCell ref="B83:C83"/>
    <mergeCell ref="B84:C84"/>
    <mergeCell ref="B85:C85"/>
    <mergeCell ref="G85:H85"/>
    <mergeCell ref="B86:C86"/>
    <mergeCell ref="B87:C87"/>
    <mergeCell ref="G54:H54"/>
    <mergeCell ref="G55:H55"/>
    <mergeCell ref="A1:B1"/>
    <mergeCell ref="A46:B46"/>
    <mergeCell ref="G52:H52"/>
    <mergeCell ref="B53:C53"/>
    <mergeCell ref="G53:H53"/>
    <mergeCell ref="B54:C54"/>
    <mergeCell ref="B55:C55"/>
    <mergeCell ref="B56:C56"/>
    <mergeCell ref="G56:H56"/>
    <mergeCell ref="B57:C57"/>
    <mergeCell ref="G57:H57"/>
    <mergeCell ref="B58:C58"/>
    <mergeCell ref="G58:H58"/>
    <mergeCell ref="G59:H59"/>
    <mergeCell ref="B59:C59"/>
    <mergeCell ref="B60:C60"/>
    <mergeCell ref="B61:C61"/>
    <mergeCell ref="B62:C62"/>
    <mergeCell ref="B63:C63"/>
    <mergeCell ref="B64:C64"/>
    <mergeCell ref="B65:C65"/>
    <mergeCell ref="G60:H60"/>
    <mergeCell ref="G61:H61"/>
    <mergeCell ref="G62:H62"/>
    <mergeCell ref="G63:H63"/>
    <mergeCell ref="G64:H64"/>
    <mergeCell ref="G65:H65"/>
    <mergeCell ref="G66:H66"/>
    <mergeCell ref="B66:C66"/>
    <mergeCell ref="B67:C67"/>
    <mergeCell ref="B68:C68"/>
    <mergeCell ref="B69:C69"/>
    <mergeCell ref="B70:C70"/>
    <mergeCell ref="B71:C71"/>
    <mergeCell ref="B72:C72"/>
    <mergeCell ref="G83:H83"/>
    <mergeCell ref="G84:H84"/>
  </mergeCells>
  <conditionalFormatting sqref="A17">
    <cfRule type="expression" dxfId="0" priority="1">
      <formula>COUNTIF(#REF!, A17) &gt; 1</formula>
    </cfRule>
  </conditionalFormatting>
  <conditionalFormatting sqref="A30:A41">
    <cfRule type="cellIs" dxfId="2" priority="2" operator="equal">
      <formula>"TOTAL"</formula>
    </cfRule>
  </conditionalFormatting>
  <conditionalFormatting sqref="A4:A20">
    <cfRule type="expression" dxfId="0" priority="3">
      <formula>$B4&gt;0</formula>
    </cfRule>
  </conditionalFormatting>
  <conditionalFormatting sqref="D2:D17">
    <cfRule type="containsBlanks" dxfId="3" priority="4">
      <formula>LEN(TRIM(D2))=0</formula>
    </cfRule>
  </conditionalFormatting>
  <conditionalFormatting sqref="B53:B1010">
    <cfRule type="expression" dxfId="0" priority="5">
      <formula>$E53&lt;&gt;""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42.88"/>
    <col customWidth="1" min="3" max="3" width="14.88"/>
  </cols>
  <sheetData>
    <row r="1">
      <c r="A1" s="74" t="s">
        <v>598</v>
      </c>
      <c r="B1" s="75" t="s">
        <v>616</v>
      </c>
      <c r="C1" s="75" t="s">
        <v>617</v>
      </c>
    </row>
    <row r="2">
      <c r="A2" s="76">
        <v>46181.0</v>
      </c>
      <c r="B2" s="77">
        <f>COUNTIF(A5:A972,"*L4*" )</f>
        <v>29</v>
      </c>
      <c r="C2" s="78">
        <f>SUM(MALABON!B1,MANILA!B1,CALOOCAN!B1,VALENZUELA!B1,'QUEZON CITY'!B1,'LAS PINAS'!B1,TAGUIG!B1,NAVOTAS!B1,Paranaque!B1,Pasay!B1,Marikina!B1,MAKATI!B1,'SAN JUAN'!B1,MUNTINLUPA!B1,PASIG!B1,MANDALUYONG!B1)</f>
        <v>29</v>
      </c>
    </row>
    <row r="3">
      <c r="A3" s="1"/>
      <c r="B3" s="1"/>
      <c r="C3" s="1"/>
    </row>
    <row r="4">
      <c r="A4" s="1" t="s">
        <v>618</v>
      </c>
      <c r="B4" s="1" t="s">
        <v>619</v>
      </c>
      <c r="C4" s="1" t="s">
        <v>620</v>
      </c>
    </row>
    <row r="5">
      <c r="A5" s="11" t="s">
        <v>14</v>
      </c>
    </row>
    <row r="6">
      <c r="A6" s="11" t="s">
        <v>42</v>
      </c>
      <c r="B6" s="11" t="s">
        <v>43</v>
      </c>
      <c r="C6" s="25">
        <f t="array" ref="C6">XLOOKUP(A6,DB!C:C,DB!B:B,"")</f>
        <v>46176</v>
      </c>
    </row>
    <row r="7">
      <c r="A7" s="11" t="s">
        <v>621</v>
      </c>
      <c r="B7" s="11" t="s">
        <v>622</v>
      </c>
      <c r="C7" s="4" t="str">
        <f t="array" ref="C7">XLOOKUP(A7,DB!C:C,DB!B:B,"")</f>
        <v/>
      </c>
    </row>
    <row r="8">
      <c r="A8" s="11" t="s">
        <v>71</v>
      </c>
      <c r="B8" s="11" t="s">
        <v>623</v>
      </c>
      <c r="C8" s="73">
        <f t="array" ref="C8">XLOOKUP(A8,DB!C:C,DB!B:B,"")</f>
        <v>46163</v>
      </c>
    </row>
    <row r="9">
      <c r="A9" s="11" t="s">
        <v>30</v>
      </c>
      <c r="B9" s="11" t="s">
        <v>31</v>
      </c>
      <c r="C9" s="25">
        <f t="array" ref="C9">XLOOKUP(A9,DB!C:C,DB!B:B,"")</f>
        <v>46182</v>
      </c>
    </row>
    <row r="10">
      <c r="C10" s="4" t="str">
        <f t="array" ref="C10">XLOOKUP(A10,DB!C:C,DB!B:B,"")</f>
        <v/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11" t="s">
        <v>130</v>
      </c>
      <c r="C11" s="4" t="str">
        <f t="array" ref="C11">XLOOKUP(A11,DB!C:C,DB!B:B,"")</f>
        <v/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11" t="s">
        <v>95</v>
      </c>
      <c r="B12" s="11" t="s">
        <v>624</v>
      </c>
      <c r="C12" s="73">
        <f t="array" ref="C12">XLOOKUP(A12,DB!C:C,DB!B:B,"")</f>
        <v>45780</v>
      </c>
    </row>
    <row r="13">
      <c r="A13" s="11" t="s">
        <v>625</v>
      </c>
      <c r="B13" s="11" t="s">
        <v>626</v>
      </c>
      <c r="C13" s="4" t="str">
        <f t="array" ref="C13">XLOOKUP(A13,DB!C:C,DB!B:B,"")</f>
        <v/>
      </c>
    </row>
    <row r="14">
      <c r="A14" s="11" t="s">
        <v>627</v>
      </c>
      <c r="B14" s="11" t="s">
        <v>628</v>
      </c>
      <c r="C14" s="4" t="str">
        <f t="array" ref="C14">XLOOKUP(A14,DB!C:C,DB!B:B,"")</f>
        <v/>
      </c>
    </row>
    <row r="15">
      <c r="C15" s="4" t="str">
        <f t="array" ref="C15">XLOOKUP(A15,DB!C:C,DB!B:B,"")</f>
        <v/>
      </c>
    </row>
    <row r="16">
      <c r="A16" s="11" t="s">
        <v>139</v>
      </c>
      <c r="C16" s="4" t="str">
        <f t="array" ref="C16">XLOOKUP(A16,DB!C:C,DB!B:B,"")</f>
        <v/>
      </c>
    </row>
    <row r="17">
      <c r="A17" s="11" t="s">
        <v>150</v>
      </c>
      <c r="B17" s="11" t="s">
        <v>151</v>
      </c>
      <c r="C17" s="25">
        <f t="array" ref="C17">XLOOKUP(A17,DB!C:C,DB!B:B,"")</f>
        <v>46181</v>
      </c>
    </row>
    <row r="18">
      <c r="C18" s="4" t="str">
        <f t="array" ref="C18">XLOOKUP(A18,DB!C:C,DB!B:B,"")</f>
        <v/>
      </c>
    </row>
    <row r="19">
      <c r="A19" s="11" t="s">
        <v>178</v>
      </c>
      <c r="C19" s="4" t="str">
        <f t="array" ref="C19">XLOOKUP(A19,DB!C:C,DB!B:B,"")</f>
        <v/>
      </c>
    </row>
    <row r="20">
      <c r="A20" s="11" t="s">
        <v>200</v>
      </c>
      <c r="B20" s="11" t="s">
        <v>201</v>
      </c>
      <c r="C20" s="25">
        <f t="array" ref="C20">XLOOKUP(A20,DB!C:C,DB!B:B,"")</f>
        <v>46135</v>
      </c>
    </row>
    <row r="21">
      <c r="A21" s="11" t="s">
        <v>629</v>
      </c>
      <c r="B21" s="11" t="s">
        <v>630</v>
      </c>
      <c r="C21" s="4" t="str">
        <f t="array" ref="C21">XLOOKUP(A21,DB!C:C,DB!B:B,"")</f>
        <v/>
      </c>
    </row>
    <row r="22">
      <c r="A22" s="11" t="s">
        <v>99</v>
      </c>
      <c r="B22" s="11" t="s">
        <v>100</v>
      </c>
      <c r="C22" s="73" t="str">
        <f t="array" ref="C22">XLOOKUP(A22,DB!C:C,DB!B:B,"")</f>
        <v/>
      </c>
    </row>
    <row r="23">
      <c r="A23" s="11" t="s">
        <v>589</v>
      </c>
      <c r="B23" s="11" t="s">
        <v>590</v>
      </c>
      <c r="C23" s="73">
        <f t="array" ref="C23">XLOOKUP(A23,DB!C:C,DB!B:B,"")</f>
        <v>46184</v>
      </c>
    </row>
    <row r="24">
      <c r="A24" s="11" t="s">
        <v>631</v>
      </c>
      <c r="B24" s="11" t="s">
        <v>632</v>
      </c>
      <c r="C24" s="4" t="str">
        <f t="array" ref="C24">XLOOKUP(A24,DB!C:C,DB!B:B,"")</f>
        <v/>
      </c>
    </row>
    <row r="25">
      <c r="A25" s="11" t="s">
        <v>633</v>
      </c>
      <c r="B25" s="11" t="s">
        <v>634</v>
      </c>
      <c r="C25" s="4" t="str">
        <f t="array" ref="C25">XLOOKUP(A25,DB!C:C,DB!B:B,"")</f>
        <v/>
      </c>
    </row>
    <row r="26">
      <c r="C26" s="4" t="str">
        <f t="array" ref="C26">XLOOKUP(A26,DB!C:C,DB!B:B,"")</f>
        <v/>
      </c>
    </row>
    <row r="27">
      <c r="A27" s="11" t="s">
        <v>248</v>
      </c>
      <c r="C27" s="4" t="str">
        <f t="array" ref="C27">XLOOKUP(A27,DB!C:C,DB!B:B,"")</f>
        <v/>
      </c>
    </row>
    <row r="28">
      <c r="A28" s="11" t="s">
        <v>256</v>
      </c>
      <c r="B28" s="11" t="s">
        <v>257</v>
      </c>
      <c r="C28" s="73">
        <f t="array" ref="C28">XLOOKUP(A28,DB!C:C,DB!B:B,"")</f>
        <v>46183</v>
      </c>
    </row>
    <row r="29">
      <c r="A29" s="11" t="s">
        <v>250</v>
      </c>
      <c r="B29" s="11" t="s">
        <v>635</v>
      </c>
      <c r="C29" s="25">
        <f t="array" ref="C29">XLOOKUP(A29,DB!C:C,DB!B:B,"")</f>
        <v>46183</v>
      </c>
    </row>
    <row r="30">
      <c r="C30" s="4" t="str">
        <f t="array" ref="C30">XLOOKUP(A30,DB!C:C,DB!B:B,"")</f>
        <v/>
      </c>
    </row>
    <row r="31">
      <c r="A31" s="11" t="s">
        <v>266</v>
      </c>
      <c r="C31" s="4" t="str">
        <f t="array" ref="C31">XLOOKUP(A31,DB!C:C,DB!B:B,"")</f>
        <v/>
      </c>
    </row>
    <row r="32">
      <c r="A32" s="11" t="s">
        <v>577</v>
      </c>
      <c r="B32" s="11" t="s">
        <v>578</v>
      </c>
      <c r="C32" s="73">
        <f t="array" ref="C32">XLOOKUP(A32,DB!C:C,DB!B:B,"")</f>
        <v>46181</v>
      </c>
    </row>
    <row r="33">
      <c r="C33" s="4" t="str">
        <f t="array" ref="C33">XLOOKUP(A33,DB!C:C,DB!B:B,"")</f>
        <v/>
      </c>
    </row>
    <row r="34">
      <c r="A34" s="11" t="s">
        <v>293</v>
      </c>
      <c r="C34" s="4" t="str">
        <f t="array" ref="C34">XLOOKUP(A34,DB!C:C,DB!B:B,"")</f>
        <v/>
      </c>
    </row>
    <row r="35">
      <c r="A35" s="11" t="s">
        <v>636</v>
      </c>
      <c r="B35" s="11" t="s">
        <v>637</v>
      </c>
      <c r="C35" s="4" t="str">
        <f t="array" ref="C35">XLOOKUP(A35,DB!C:C,DB!B:B,"")</f>
        <v/>
      </c>
    </row>
    <row r="36">
      <c r="C36" s="4" t="str">
        <f t="array" ref="C36">XLOOKUP(A36,DB!C:C,DB!B:B,"")</f>
        <v/>
      </c>
    </row>
    <row r="37">
      <c r="A37" s="11" t="s">
        <v>307</v>
      </c>
      <c r="C37" s="4" t="str">
        <f t="array" ref="C37">XLOOKUP(A37,DB!C:C,DB!B:B,"")</f>
        <v/>
      </c>
    </row>
    <row r="38">
      <c r="A38" s="11" t="s">
        <v>638</v>
      </c>
      <c r="B38" s="11" t="s">
        <v>639</v>
      </c>
      <c r="C38" s="4" t="str">
        <f t="array" ref="C38">XLOOKUP(A38,DB!C:C,DB!B:B,"")</f>
        <v/>
      </c>
    </row>
    <row r="39">
      <c r="A39" s="11" t="s">
        <v>318</v>
      </c>
      <c r="B39" s="11" t="s">
        <v>640</v>
      </c>
      <c r="C39" s="4" t="str">
        <f t="array" ref="C39">XLOOKUP(A39,DB!C:C,DB!B:B,"")</f>
        <v/>
      </c>
    </row>
    <row r="40">
      <c r="C40" s="4" t="str">
        <f t="array" ref="C40">XLOOKUP(A40,DB!C:C,DB!B:B,"")</f>
        <v/>
      </c>
    </row>
    <row r="41">
      <c r="A41" s="11" t="s">
        <v>346</v>
      </c>
      <c r="C41" s="4" t="str">
        <f t="array" ref="C41">XLOOKUP(A41,DB!C:C,DB!B:B,"")</f>
        <v/>
      </c>
    </row>
    <row r="42">
      <c r="A42" s="11" t="s">
        <v>361</v>
      </c>
      <c r="B42" s="11" t="s">
        <v>362</v>
      </c>
      <c r="C42" s="25">
        <f t="array" ref="C42">XLOOKUP(A42,DB!C:C,DB!B:B,"")</f>
        <v>46182</v>
      </c>
    </row>
    <row r="43">
      <c r="A43" s="11" t="s">
        <v>641</v>
      </c>
      <c r="B43" s="11" t="s">
        <v>642</v>
      </c>
      <c r="C43" s="4" t="str">
        <f t="array" ref="C43">XLOOKUP(A43,DB!C:C,DB!B:B,"")</f>
        <v/>
      </c>
    </row>
    <row r="44">
      <c r="A44" s="11" t="s">
        <v>583</v>
      </c>
      <c r="B44" s="11" t="s">
        <v>643</v>
      </c>
      <c r="C44" s="73">
        <f t="array" ref="C44">XLOOKUP(A44,DB!C:C,DB!B:B,"")</f>
        <v>46182</v>
      </c>
    </row>
    <row r="45">
      <c r="A45" s="11" t="s">
        <v>377</v>
      </c>
      <c r="B45" s="11" t="s">
        <v>378</v>
      </c>
      <c r="C45" s="25">
        <f t="array" ref="C45">XLOOKUP(A45,DB!C:C,DB!B:B,"")</f>
        <v>46129</v>
      </c>
    </row>
    <row r="46">
      <c r="A46" s="11" t="s">
        <v>586</v>
      </c>
      <c r="B46" s="11" t="s">
        <v>644</v>
      </c>
      <c r="C46" s="73">
        <f t="array" ref="C46">XLOOKUP(A46,DB!C:C,DB!B:B,"")</f>
        <v>46184</v>
      </c>
    </row>
    <row r="47">
      <c r="A47" s="11" t="s">
        <v>645</v>
      </c>
      <c r="B47" s="11" t="s">
        <v>646</v>
      </c>
      <c r="C47" s="4" t="str">
        <f t="array" ref="C47">XLOOKUP(A47,DB!C:C,DB!B:B,"")</f>
        <v/>
      </c>
    </row>
    <row r="48">
      <c r="C48" s="4" t="str">
        <f t="array" ref="C48">XLOOKUP(A48,DB!C:C,DB!B:B,"")</f>
        <v/>
      </c>
    </row>
    <row r="49">
      <c r="A49" s="11" t="s">
        <v>454</v>
      </c>
      <c r="C49" s="4" t="str">
        <f t="array" ref="C49">XLOOKUP(A49,DB!C:C,DB!B:B,"")</f>
        <v/>
      </c>
    </row>
    <row r="50">
      <c r="A50" s="11" t="s">
        <v>574</v>
      </c>
      <c r="B50" s="11" t="s">
        <v>575</v>
      </c>
      <c r="C50" s="73">
        <f t="array" ref="C50">XLOOKUP(A50,DB!C:C,DB!B:B,"")</f>
        <v>46181</v>
      </c>
    </row>
    <row r="51">
      <c r="A51" s="11" t="s">
        <v>452</v>
      </c>
      <c r="B51" s="11" t="s">
        <v>453</v>
      </c>
      <c r="C51" s="25">
        <f t="array" ref="C51">XLOOKUP(A51,DB!C:C,DB!B:B,"")</f>
        <v>46181</v>
      </c>
    </row>
    <row r="52">
      <c r="A52" s="11" t="s">
        <v>465</v>
      </c>
      <c r="B52" s="11" t="s">
        <v>466</v>
      </c>
      <c r="C52" s="25">
        <f t="array" ref="C52">XLOOKUP(A52,DB!C:C,DB!B:B,"")</f>
        <v>46181</v>
      </c>
    </row>
    <row r="78">
      <c r="C78" s="4" t="str">
        <f t="array" ref="C78">XLOOKUP(A78,DB!C:C,DB!B:B,"")</f>
        <v/>
      </c>
    </row>
    <row r="79">
      <c r="C79" s="4" t="str">
        <f t="array" ref="C79">XLOOKUP(A79,DB!C:C,DB!B:B,"")</f>
        <v/>
      </c>
    </row>
    <row r="80">
      <c r="C80" s="4" t="str">
        <f t="array" ref="C80">XLOOKUP(A80,DB!C:C,DB!B:B,"")</f>
        <v/>
      </c>
    </row>
  </sheetData>
  <conditionalFormatting sqref="A3:A972">
    <cfRule type="containsText" dxfId="4" priority="1" operator="containsText" text="City">
      <formula>NOT(ISERROR(SEARCH(("City"),(A3))))</formula>
    </cfRule>
  </conditionalFormatting>
  <conditionalFormatting sqref="B6:B972">
    <cfRule type="expression" dxfId="5" priority="2">
      <formula>AND(C6&lt;&gt;"", C6&gt;=TODAY()-30, C6&lt;=TODAY())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10.75"/>
    <col customWidth="1" min="4" max="4" width="10.38"/>
    <col customWidth="1" min="5" max="5" width="20.5"/>
  </cols>
  <sheetData>
    <row r="1">
      <c r="A1" s="1" t="s">
        <v>647</v>
      </c>
      <c r="B1" s="80">
        <f>COUNTIF(A3:A1001,"*L4*")</f>
        <v>7</v>
      </c>
      <c r="C1" s="1"/>
      <c r="D1" s="81">
        <f>MAIN!C2</f>
        <v>46154</v>
      </c>
      <c r="E1" s="82"/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4" t="s">
        <v>651</v>
      </c>
    </row>
    <row r="3">
      <c r="A3" s="4" t="str">
        <f>IFERROR(__xludf.DUMMYFUNCTION("QUERY(Master!A2:B1001, ""SELECT A, B WHERE A STARTS WITH 'L4-005'"", 0)"),"L4-005-05E5A")</f>
        <v>L4-005-05E5A</v>
      </c>
      <c r="B3" s="4" t="str">
        <f>IFERROR(__xludf.DUMMYFUNCTION("""COMPUTED_VALUE"""),"M. Earnshaw Health Center")</f>
        <v>M. Earnshaw Health Center</v>
      </c>
      <c r="C3" s="4" t="str">
        <f t="array" ref="C3">XLOOKUP(A3,DB!C:C,DB!K:K)</f>
        <v/>
      </c>
      <c r="D3" s="25">
        <f t="array" ref="D3">XLOOKUP(A3,DB!C:C,DB!B:B)</f>
        <v>46135</v>
      </c>
      <c r="E3" s="82" t="str">
        <f t="array" ref="E3">XLOOKUP(A3,DB!C:C,DB!F:F,"" )</f>
        <v/>
      </c>
    </row>
    <row r="4">
      <c r="A4" s="4" t="str">
        <f>IFERROR(__xludf.DUMMYFUNCTION("""COMPUTED_VALUE"""),"L4-005-0007D")</f>
        <v>L4-005-0007D</v>
      </c>
      <c r="B4" s="4" t="str">
        <f>IFERROR(__xludf.DUMMYFUNCTION("""COMPUTED_VALUE"""),"Department of Finance")</f>
        <v>Department of Finance</v>
      </c>
      <c r="D4" s="4" t="str">
        <f t="array" ref="D4">XLOOKUP(A4,DB!C:C,DB!B:B)</f>
        <v>#N/A</v>
      </c>
      <c r="E4" s="82" t="str">
        <f t="array" ref="E4">XLOOKUP(A4,DB!C:C,DB!F:F,"" )</f>
        <v/>
      </c>
    </row>
    <row r="5">
      <c r="A5" s="4" t="str">
        <f>IFERROR(__xludf.DUMMYFUNCTION("""COMPUTED_VALUE"""),"L4-005-0008F")</f>
        <v>L4-005-0008F</v>
      </c>
      <c r="B5" s="4" t="str">
        <f>IFERROR(__xludf.DUMMYFUNCTION("""COMPUTED_VALUE"""),"Bureau of Customs")</f>
        <v>Bureau of Customs</v>
      </c>
      <c r="C5" s="2"/>
      <c r="D5" s="73" t="str">
        <f t="array" ref="D5">XLOOKUP(A5,DB!C:C,DB!B:B)</f>
        <v/>
      </c>
      <c r="E5" s="82" t="str">
        <f t="array" ref="E5">XLOOKUP(A5,DB!C:C,DB!F:F,"" )</f>
        <v>14.744307, 120.972969</v>
      </c>
    </row>
    <row r="6">
      <c r="A6" s="4" t="str">
        <f>IFERROR(__xludf.DUMMYFUNCTION("""COMPUTED_VALUE"""),"L4-005-05E7A")</f>
        <v>L4-005-05E7A</v>
      </c>
      <c r="B6" s="4" t="str">
        <f>IFERROR(__xludf.DUMMYFUNCTION("""COMPUTED_VALUE"""),"San Miguel Health Center")</f>
        <v>San Miguel Health Center</v>
      </c>
      <c r="C6" s="2"/>
      <c r="E6" s="82" t="str">
        <f t="array" ref="E6">XLOOKUP(A6,DB!C:C,DB!F:F,"" )</f>
        <v>14.592662, 120.990735</v>
      </c>
    </row>
    <row r="7">
      <c r="A7" s="4" t="str">
        <f>IFERROR(__xludf.DUMMYFUNCTION("""COMPUTED_VALUE"""),"L4-005-00718")</f>
        <v>L4-005-00718</v>
      </c>
      <c r="B7" s="4" t="str">
        <f>IFERROR(__xludf.DUMMYFUNCTION("""COMPUTED_VALUE"""),"E. delos Santos Elementary School")</f>
        <v>E. delos Santos Elementary School</v>
      </c>
      <c r="E7" s="82" t="str">
        <f t="array" ref="E7">XLOOKUP(A7,DB!C:C,DB!F:F,"" )</f>
        <v/>
      </c>
    </row>
    <row r="8">
      <c r="A8" s="4" t="str">
        <f>IFERROR(__xludf.DUMMYFUNCTION("""COMPUTED_VALUE"""),"L4-005-0006D")</f>
        <v>L4-005-0006D</v>
      </c>
      <c r="B8" s="4" t="str">
        <f>IFERROR(__xludf.DUMMYFUNCTION("""COMPUTED_VALUE"""),"Intramuros Administration")</f>
        <v>Intramuros Administration</v>
      </c>
      <c r="C8" s="2"/>
      <c r="E8" s="82" t="str">
        <f t="array" ref="E8">XLOOKUP(A8,DB!C:C,DB!F:F,"" )</f>
        <v/>
      </c>
    </row>
    <row r="9">
      <c r="A9" s="4" t="str">
        <f>IFERROR(__xludf.DUMMYFUNCTION("""COMPUTED_VALUE"""),"L4-005-06379")</f>
        <v>L4-005-06379</v>
      </c>
      <c r="B9" s="4" t="str">
        <f>IFERROR(__xludf.DUMMYFUNCTION("""COMPUTED_VALUE"""),"Balonbato Barangay Hall")</f>
        <v>Balonbato Barangay Hall</v>
      </c>
      <c r="E9" s="82" t="str">
        <f t="array" ref="E9">XLOOKUP(A9,DB!C:C,DB!F:F,"" )</f>
        <v/>
      </c>
    </row>
    <row r="10">
      <c r="A10" s="4"/>
      <c r="E10" s="82"/>
    </row>
    <row r="11">
      <c r="A11" s="4"/>
      <c r="E11" s="82"/>
    </row>
    <row r="12">
      <c r="A12" s="4"/>
      <c r="E12" s="82"/>
    </row>
    <row r="13">
      <c r="A13" s="4"/>
      <c r="E13" s="82"/>
    </row>
    <row r="14">
      <c r="A14" s="4"/>
      <c r="E14" s="82"/>
    </row>
    <row r="15">
      <c r="A15" s="4"/>
      <c r="E15" s="82"/>
    </row>
    <row r="16">
      <c r="A16" s="4"/>
      <c r="E16" s="82"/>
    </row>
    <row r="17">
      <c r="A17" s="4"/>
      <c r="E17" s="82"/>
    </row>
    <row r="18">
      <c r="A18" s="4"/>
      <c r="E18" s="82"/>
    </row>
    <row r="19">
      <c r="A19" s="4"/>
      <c r="E19" s="82"/>
    </row>
    <row r="20">
      <c r="A20" s="4"/>
      <c r="E20" s="82"/>
    </row>
    <row r="21">
      <c r="A21" s="4"/>
      <c r="E21" s="82"/>
    </row>
    <row r="22">
      <c r="A22" s="4"/>
      <c r="E22" s="82"/>
    </row>
    <row r="23">
      <c r="A23" s="4"/>
      <c r="E23" s="82"/>
    </row>
    <row r="24">
      <c r="A24" s="4"/>
      <c r="E24" s="82"/>
    </row>
    <row r="25">
      <c r="A25" s="4"/>
      <c r="E25" s="82"/>
    </row>
    <row r="26">
      <c r="A26" s="4"/>
      <c r="E26" s="82"/>
    </row>
    <row r="27">
      <c r="A27" s="4"/>
      <c r="E27" s="82"/>
    </row>
    <row r="28">
      <c r="A28" s="4"/>
      <c r="E28" s="82"/>
    </row>
    <row r="29">
      <c r="A29" s="4"/>
      <c r="E29" s="82"/>
    </row>
    <row r="30">
      <c r="A30" s="4"/>
      <c r="E30" s="82"/>
    </row>
    <row r="31">
      <c r="A31" s="4"/>
      <c r="E31" s="82"/>
    </row>
    <row r="32">
      <c r="A32" s="4"/>
      <c r="E32" s="82"/>
    </row>
    <row r="33">
      <c r="A33" s="4"/>
      <c r="E33" s="82"/>
    </row>
    <row r="34">
      <c r="A34" s="4"/>
      <c r="E34" s="82"/>
    </row>
    <row r="35">
      <c r="A35" s="4"/>
      <c r="E35" s="82"/>
    </row>
    <row r="36">
      <c r="A36" s="4"/>
      <c r="E36" s="82"/>
    </row>
    <row r="37">
      <c r="A37" s="4"/>
      <c r="E37" s="82"/>
    </row>
    <row r="38">
      <c r="A38" s="4"/>
      <c r="E38" s="82"/>
    </row>
    <row r="39">
      <c r="A39" s="4"/>
      <c r="E39" s="82"/>
    </row>
    <row r="40">
      <c r="A40" s="4"/>
      <c r="E40" s="82"/>
    </row>
    <row r="41">
      <c r="A41" s="4"/>
      <c r="E41" s="82"/>
    </row>
    <row r="42">
      <c r="A42" s="4"/>
      <c r="E42" s="82"/>
    </row>
    <row r="43">
      <c r="A43" s="4"/>
      <c r="E43" s="82"/>
    </row>
    <row r="44">
      <c r="A44" s="4"/>
      <c r="E44" s="82"/>
    </row>
    <row r="45">
      <c r="A45" s="4"/>
      <c r="E45" s="82"/>
    </row>
    <row r="46">
      <c r="A46" s="4"/>
      <c r="E46" s="82"/>
    </row>
    <row r="47">
      <c r="A47" s="4"/>
      <c r="E47" s="82"/>
    </row>
    <row r="48">
      <c r="A48" s="4"/>
      <c r="E48" s="82"/>
    </row>
    <row r="49">
      <c r="A49" s="4"/>
      <c r="E49" s="82"/>
    </row>
    <row r="50">
      <c r="A50" s="4"/>
      <c r="E50" s="82"/>
    </row>
    <row r="51">
      <c r="A51" s="4"/>
      <c r="E51" s="82"/>
    </row>
    <row r="52">
      <c r="A52" s="4"/>
      <c r="E52" s="82"/>
    </row>
    <row r="53">
      <c r="A53" s="4"/>
      <c r="E53" s="82"/>
    </row>
    <row r="54">
      <c r="A54" s="4"/>
      <c r="E54" s="82"/>
    </row>
    <row r="55">
      <c r="A55" s="4"/>
      <c r="E55" s="82"/>
    </row>
    <row r="56">
      <c r="A56" s="4"/>
      <c r="E56" s="82"/>
    </row>
    <row r="57">
      <c r="A57" s="4"/>
      <c r="E57" s="82"/>
    </row>
    <row r="58">
      <c r="A58" s="4"/>
      <c r="E58" s="82"/>
    </row>
    <row r="59">
      <c r="A59" s="4"/>
      <c r="E59" s="82"/>
    </row>
    <row r="60">
      <c r="A60" s="4"/>
      <c r="E60" s="82"/>
    </row>
    <row r="61">
      <c r="A61" s="4"/>
      <c r="E61" s="82"/>
    </row>
    <row r="62">
      <c r="A62" s="4"/>
      <c r="E62" s="82"/>
    </row>
    <row r="63">
      <c r="A63" s="4"/>
      <c r="E63" s="82"/>
    </row>
    <row r="64">
      <c r="A64" s="4"/>
      <c r="E64" s="82"/>
    </row>
    <row r="65">
      <c r="A65" s="4"/>
      <c r="E65" s="82"/>
    </row>
    <row r="66">
      <c r="A66" s="4"/>
      <c r="E66" s="82"/>
    </row>
    <row r="67">
      <c r="A67" s="4"/>
      <c r="E67" s="82"/>
    </row>
    <row r="68">
      <c r="A68" s="4"/>
      <c r="E68" s="82"/>
    </row>
    <row r="69">
      <c r="A69" s="4"/>
      <c r="E69" s="82"/>
    </row>
    <row r="70">
      <c r="A70" s="4"/>
      <c r="E70" s="82"/>
    </row>
    <row r="71">
      <c r="A71" s="4"/>
      <c r="E71" s="82"/>
    </row>
    <row r="72">
      <c r="A72" s="4"/>
      <c r="E72" s="82"/>
    </row>
    <row r="73">
      <c r="A73" s="4"/>
      <c r="E73" s="82"/>
    </row>
    <row r="74">
      <c r="A74" s="4"/>
      <c r="E74" s="82"/>
    </row>
    <row r="75">
      <c r="A75" s="4"/>
      <c r="E75" s="82"/>
    </row>
    <row r="76">
      <c r="A76" s="4"/>
      <c r="E76" s="82"/>
    </row>
    <row r="77">
      <c r="A77" s="4"/>
      <c r="E77" s="82"/>
    </row>
    <row r="78">
      <c r="A78" s="4"/>
      <c r="E78" s="82"/>
    </row>
    <row r="79">
      <c r="A79" s="4"/>
      <c r="E79" s="82"/>
    </row>
    <row r="80">
      <c r="A80" s="4"/>
      <c r="E80" s="82"/>
    </row>
    <row r="81">
      <c r="A81" s="4"/>
      <c r="E81" s="82"/>
    </row>
    <row r="82">
      <c r="A82" s="4"/>
      <c r="E82" s="82"/>
    </row>
    <row r="83">
      <c r="A83" s="4"/>
      <c r="E83" s="82"/>
    </row>
    <row r="84">
      <c r="A84" s="4"/>
      <c r="E84" s="82"/>
    </row>
    <row r="85">
      <c r="A85" s="4"/>
      <c r="E85" s="82"/>
    </row>
    <row r="86">
      <c r="A86" s="4"/>
      <c r="E86" s="82"/>
    </row>
    <row r="87">
      <c r="A87" s="4"/>
      <c r="E87" s="82"/>
    </row>
    <row r="88">
      <c r="A88" s="4"/>
      <c r="E88" s="82"/>
    </row>
    <row r="89">
      <c r="A89" s="4"/>
      <c r="E89" s="82"/>
    </row>
    <row r="90">
      <c r="A90" s="4"/>
      <c r="E90" s="82"/>
    </row>
    <row r="91">
      <c r="A91" s="4"/>
      <c r="E91" s="82"/>
    </row>
    <row r="92">
      <c r="A92" s="4"/>
      <c r="E92" s="82"/>
    </row>
    <row r="93">
      <c r="A93" s="4"/>
      <c r="E93" s="82"/>
    </row>
    <row r="94">
      <c r="A94" s="4"/>
      <c r="E94" s="82"/>
    </row>
    <row r="95">
      <c r="A95" s="4"/>
      <c r="E95" s="82"/>
    </row>
    <row r="96">
      <c r="A96" s="4"/>
      <c r="E96" s="82"/>
    </row>
    <row r="97">
      <c r="A97" s="4"/>
      <c r="E97" s="82"/>
    </row>
    <row r="98">
      <c r="A98" s="4"/>
      <c r="E98" s="82"/>
    </row>
    <row r="99">
      <c r="A99" s="4"/>
      <c r="E99" s="82"/>
    </row>
    <row r="100">
      <c r="A100" s="4"/>
      <c r="E100" s="82"/>
    </row>
    <row r="101">
      <c r="A101" s="4"/>
      <c r="E101" s="82"/>
    </row>
    <row r="102">
      <c r="A102" s="4"/>
      <c r="E102" s="82"/>
    </row>
    <row r="103">
      <c r="A103" s="4"/>
      <c r="E103" s="82"/>
    </row>
    <row r="104">
      <c r="A104" s="4"/>
      <c r="E104" s="82"/>
    </row>
    <row r="105">
      <c r="A105" s="4"/>
      <c r="E105" s="82"/>
    </row>
    <row r="106">
      <c r="A106" s="4"/>
      <c r="E106" s="82"/>
    </row>
    <row r="107">
      <c r="A107" s="4"/>
      <c r="E107" s="82"/>
    </row>
    <row r="108">
      <c r="A108" s="4"/>
      <c r="E108" s="82"/>
    </row>
    <row r="109">
      <c r="A109" s="4"/>
      <c r="E109" s="82"/>
    </row>
    <row r="110">
      <c r="A110" s="4"/>
      <c r="E110" s="82"/>
    </row>
    <row r="111">
      <c r="A111" s="4"/>
      <c r="E111" s="82"/>
    </row>
    <row r="112">
      <c r="A112" s="4"/>
      <c r="E112" s="82"/>
    </row>
    <row r="113">
      <c r="A113" s="4"/>
      <c r="E113" s="82"/>
    </row>
    <row r="114">
      <c r="A114" s="4"/>
      <c r="E114" s="82"/>
    </row>
    <row r="115">
      <c r="A115" s="4"/>
      <c r="E115" s="82"/>
    </row>
    <row r="116">
      <c r="A116" s="4"/>
      <c r="E116" s="82"/>
    </row>
    <row r="117">
      <c r="A117" s="4"/>
      <c r="E117" s="82"/>
    </row>
    <row r="118">
      <c r="A118" s="4"/>
      <c r="E118" s="82"/>
    </row>
    <row r="119">
      <c r="A119" s="4"/>
      <c r="E119" s="82"/>
    </row>
    <row r="120">
      <c r="A120" s="4"/>
      <c r="E120" s="82"/>
    </row>
    <row r="121">
      <c r="A121" s="4"/>
      <c r="E121" s="82"/>
    </row>
    <row r="122">
      <c r="A122" s="4"/>
      <c r="E122" s="82"/>
    </row>
    <row r="123">
      <c r="A123" s="4"/>
      <c r="E123" s="82"/>
    </row>
    <row r="124">
      <c r="A124" s="4"/>
      <c r="E124" s="82"/>
    </row>
    <row r="125">
      <c r="A125" s="4"/>
      <c r="E125" s="82"/>
    </row>
    <row r="126">
      <c r="A126" s="4"/>
      <c r="E126" s="82"/>
    </row>
    <row r="127">
      <c r="A127" s="4"/>
      <c r="E127" s="82"/>
    </row>
    <row r="128">
      <c r="A128" s="4"/>
      <c r="E128" s="82"/>
    </row>
    <row r="129">
      <c r="A129" s="4"/>
      <c r="E129" s="82"/>
    </row>
    <row r="130">
      <c r="A130" s="4"/>
      <c r="E130" s="82"/>
    </row>
    <row r="131">
      <c r="A131" s="4"/>
      <c r="E131" s="82"/>
    </row>
    <row r="132">
      <c r="A132" s="4"/>
      <c r="E132" s="82"/>
    </row>
    <row r="133">
      <c r="A133" s="4"/>
      <c r="E133" s="82"/>
    </row>
    <row r="134">
      <c r="A134" s="4"/>
      <c r="E134" s="82"/>
    </row>
    <row r="135">
      <c r="A135" s="4"/>
      <c r="E135" s="82"/>
    </row>
    <row r="136">
      <c r="A136" s="4"/>
      <c r="E136" s="82"/>
    </row>
    <row r="137">
      <c r="A137" s="4"/>
      <c r="E137" s="82"/>
    </row>
    <row r="138">
      <c r="A138" s="4"/>
      <c r="E138" s="82"/>
    </row>
    <row r="139">
      <c r="A139" s="4"/>
      <c r="E139" s="82"/>
    </row>
    <row r="140">
      <c r="A140" s="4"/>
      <c r="E140" s="82"/>
    </row>
    <row r="141">
      <c r="A141" s="4"/>
      <c r="E141" s="82"/>
    </row>
    <row r="142">
      <c r="A142" s="4"/>
      <c r="E142" s="82"/>
    </row>
    <row r="143">
      <c r="A143" s="4"/>
      <c r="E143" s="82"/>
    </row>
    <row r="144">
      <c r="A144" s="4"/>
      <c r="E144" s="82"/>
    </row>
    <row r="145">
      <c r="A145" s="4"/>
      <c r="E145" s="82"/>
    </row>
    <row r="146">
      <c r="A146" s="4"/>
      <c r="E146" s="82"/>
    </row>
    <row r="147">
      <c r="A147" s="4"/>
      <c r="E147" s="82"/>
    </row>
    <row r="148">
      <c r="A148" s="4"/>
      <c r="E148" s="82"/>
    </row>
    <row r="149">
      <c r="A149" s="4"/>
      <c r="E149" s="82"/>
    </row>
    <row r="150">
      <c r="A150" s="4"/>
      <c r="E150" s="82"/>
    </row>
    <row r="151">
      <c r="A151" s="4"/>
      <c r="E151" s="82"/>
    </row>
    <row r="152">
      <c r="A152" s="4"/>
      <c r="E152" s="82"/>
    </row>
    <row r="153">
      <c r="A153" s="4"/>
      <c r="E153" s="82"/>
    </row>
    <row r="154">
      <c r="A154" s="4"/>
      <c r="E154" s="82"/>
    </row>
    <row r="155">
      <c r="A155" s="4"/>
      <c r="E155" s="82"/>
    </row>
    <row r="156">
      <c r="A156" s="4"/>
      <c r="E156" s="82"/>
    </row>
    <row r="157">
      <c r="A157" s="4"/>
      <c r="E157" s="82"/>
    </row>
    <row r="158">
      <c r="A158" s="4"/>
      <c r="E158" s="82"/>
    </row>
    <row r="159">
      <c r="A159" s="4"/>
      <c r="E159" s="82"/>
    </row>
    <row r="160">
      <c r="E160" s="82"/>
    </row>
    <row r="161">
      <c r="E161" s="82"/>
    </row>
    <row r="162">
      <c r="E162" s="82"/>
    </row>
    <row r="163">
      <c r="E163" s="82"/>
    </row>
    <row r="164">
      <c r="E164" s="82"/>
    </row>
    <row r="165">
      <c r="E165" s="82"/>
    </row>
    <row r="166">
      <c r="E166" s="82"/>
    </row>
    <row r="167">
      <c r="E167" s="82"/>
    </row>
    <row r="168">
      <c r="E168" s="82"/>
    </row>
    <row r="169">
      <c r="E169" s="82"/>
    </row>
    <row r="170">
      <c r="E170" s="82"/>
    </row>
    <row r="171">
      <c r="E171" s="82"/>
    </row>
    <row r="172">
      <c r="E172" s="82"/>
    </row>
    <row r="173">
      <c r="E173" s="82"/>
    </row>
    <row r="174">
      <c r="E174" s="82"/>
    </row>
    <row r="175">
      <c r="E175" s="82"/>
    </row>
    <row r="176">
      <c r="E176" s="82"/>
    </row>
    <row r="177">
      <c r="E177" s="82"/>
    </row>
    <row r="178">
      <c r="E178" s="82"/>
    </row>
    <row r="179">
      <c r="E179" s="82"/>
    </row>
    <row r="180">
      <c r="E180" s="82"/>
    </row>
    <row r="181">
      <c r="E181" s="82"/>
    </row>
    <row r="182">
      <c r="E182" s="82"/>
    </row>
    <row r="183">
      <c r="E183" s="82"/>
    </row>
    <row r="184">
      <c r="E184" s="82"/>
    </row>
    <row r="185">
      <c r="E185" s="82"/>
    </row>
    <row r="186">
      <c r="E186" s="82"/>
    </row>
    <row r="187">
      <c r="E187" s="82"/>
    </row>
    <row r="188">
      <c r="E188" s="82"/>
    </row>
    <row r="189">
      <c r="E189" s="82"/>
    </row>
    <row r="190">
      <c r="E190" s="82"/>
    </row>
    <row r="191">
      <c r="E191" s="82"/>
    </row>
    <row r="192">
      <c r="E192" s="82"/>
    </row>
    <row r="193">
      <c r="E193" s="82"/>
    </row>
    <row r="194">
      <c r="E194" s="82"/>
    </row>
    <row r="195">
      <c r="E195" s="82"/>
    </row>
    <row r="196">
      <c r="E196" s="82"/>
    </row>
    <row r="197">
      <c r="E197" s="82"/>
    </row>
    <row r="198">
      <c r="E198" s="82"/>
    </row>
    <row r="199">
      <c r="E199" s="82"/>
    </row>
    <row r="200">
      <c r="E200" s="82"/>
    </row>
    <row r="201">
      <c r="E201" s="82"/>
    </row>
    <row r="202">
      <c r="E202" s="82"/>
    </row>
    <row r="203">
      <c r="E203" s="82"/>
    </row>
    <row r="204">
      <c r="E204" s="82"/>
    </row>
    <row r="205">
      <c r="E205" s="82"/>
    </row>
    <row r="206">
      <c r="E206" s="82"/>
    </row>
    <row r="207">
      <c r="E207" s="82"/>
    </row>
    <row r="208">
      <c r="E208" s="82"/>
    </row>
    <row r="209">
      <c r="E209" s="82"/>
    </row>
    <row r="210">
      <c r="E210" s="82"/>
    </row>
    <row r="211">
      <c r="E211" s="82"/>
    </row>
    <row r="212">
      <c r="E212" s="82"/>
    </row>
    <row r="213">
      <c r="E213" s="82"/>
    </row>
    <row r="214">
      <c r="E214" s="82"/>
    </row>
    <row r="215">
      <c r="E215" s="82"/>
    </row>
    <row r="216">
      <c r="E216" s="82"/>
    </row>
    <row r="217">
      <c r="E217" s="82"/>
    </row>
    <row r="218">
      <c r="E218" s="82"/>
    </row>
    <row r="219">
      <c r="E219" s="82"/>
    </row>
    <row r="220">
      <c r="E220" s="82"/>
    </row>
    <row r="221">
      <c r="E221" s="82"/>
    </row>
    <row r="222">
      <c r="E222" s="82"/>
    </row>
    <row r="223">
      <c r="E223" s="82"/>
    </row>
    <row r="224">
      <c r="E224" s="82"/>
    </row>
    <row r="225">
      <c r="E225" s="82"/>
    </row>
    <row r="226">
      <c r="E226" s="82"/>
    </row>
    <row r="227">
      <c r="E227" s="82"/>
    </row>
    <row r="228">
      <c r="E228" s="82"/>
    </row>
    <row r="229">
      <c r="E229" s="82"/>
    </row>
    <row r="230">
      <c r="E230" s="82"/>
    </row>
    <row r="231">
      <c r="E231" s="82"/>
    </row>
    <row r="232">
      <c r="E232" s="82"/>
    </row>
    <row r="233">
      <c r="E233" s="82"/>
    </row>
    <row r="234">
      <c r="E234" s="82"/>
    </row>
    <row r="235">
      <c r="E235" s="82"/>
    </row>
    <row r="236">
      <c r="E236" s="82"/>
    </row>
    <row r="237">
      <c r="E237" s="82"/>
    </row>
    <row r="238">
      <c r="E238" s="82"/>
    </row>
    <row r="239">
      <c r="E239" s="82"/>
    </row>
    <row r="240">
      <c r="E240" s="82"/>
    </row>
    <row r="241">
      <c r="E241" s="82"/>
    </row>
    <row r="242">
      <c r="E242" s="82"/>
    </row>
    <row r="243">
      <c r="E243" s="82"/>
    </row>
    <row r="244">
      <c r="E244" s="82"/>
    </row>
    <row r="245">
      <c r="E245" s="82"/>
    </row>
    <row r="246">
      <c r="E246" s="82"/>
    </row>
    <row r="247">
      <c r="E247" s="82"/>
    </row>
    <row r="248">
      <c r="E248" s="82"/>
    </row>
    <row r="249">
      <c r="E249" s="82"/>
    </row>
    <row r="250">
      <c r="E250" s="82"/>
    </row>
    <row r="251">
      <c r="E251" s="82"/>
    </row>
    <row r="252">
      <c r="E252" s="82"/>
    </row>
    <row r="253">
      <c r="E253" s="82"/>
    </row>
    <row r="254">
      <c r="E254" s="82"/>
    </row>
    <row r="255">
      <c r="E255" s="82"/>
    </row>
    <row r="256">
      <c r="E256" s="82"/>
    </row>
    <row r="257">
      <c r="E257" s="82"/>
    </row>
    <row r="258">
      <c r="E258" s="82"/>
    </row>
    <row r="259">
      <c r="E259" s="82"/>
    </row>
    <row r="260">
      <c r="E260" s="82"/>
    </row>
    <row r="261">
      <c r="E261" s="82"/>
    </row>
    <row r="262">
      <c r="E262" s="82"/>
    </row>
    <row r="263">
      <c r="E263" s="82"/>
    </row>
    <row r="264">
      <c r="E264" s="82"/>
    </row>
    <row r="265">
      <c r="E265" s="82"/>
    </row>
    <row r="266">
      <c r="E266" s="82"/>
    </row>
    <row r="267">
      <c r="E267" s="82"/>
    </row>
    <row r="268">
      <c r="E268" s="82"/>
    </row>
    <row r="269">
      <c r="E269" s="82"/>
    </row>
    <row r="270">
      <c r="E270" s="82"/>
    </row>
    <row r="271">
      <c r="E271" s="82"/>
    </row>
    <row r="272">
      <c r="E272" s="82"/>
    </row>
    <row r="273">
      <c r="E273" s="82"/>
    </row>
    <row r="274">
      <c r="E274" s="82"/>
    </row>
    <row r="275">
      <c r="E275" s="82"/>
    </row>
    <row r="276">
      <c r="E276" s="82"/>
    </row>
    <row r="277">
      <c r="E277" s="82"/>
    </row>
    <row r="278">
      <c r="E278" s="82"/>
    </row>
    <row r="279">
      <c r="E279" s="82"/>
    </row>
    <row r="280">
      <c r="E280" s="82"/>
    </row>
    <row r="281">
      <c r="E281" s="82"/>
    </row>
    <row r="282">
      <c r="E282" s="82"/>
    </row>
    <row r="283">
      <c r="E283" s="82"/>
    </row>
    <row r="284">
      <c r="E284" s="82"/>
    </row>
    <row r="285">
      <c r="E285" s="82"/>
    </row>
    <row r="286">
      <c r="E286" s="82"/>
    </row>
    <row r="287">
      <c r="E287" s="82"/>
    </row>
    <row r="288">
      <c r="E288" s="82"/>
    </row>
    <row r="289">
      <c r="E289" s="82"/>
    </row>
    <row r="290">
      <c r="E290" s="82"/>
    </row>
    <row r="291">
      <c r="E291" s="82"/>
    </row>
    <row r="292">
      <c r="E292" s="82"/>
    </row>
    <row r="293">
      <c r="E293" s="82"/>
    </row>
    <row r="294">
      <c r="E294" s="82"/>
    </row>
    <row r="295">
      <c r="E295" s="82"/>
    </row>
    <row r="296">
      <c r="E296" s="82"/>
    </row>
    <row r="297">
      <c r="E297" s="82"/>
    </row>
    <row r="298">
      <c r="E298" s="82"/>
    </row>
    <row r="299">
      <c r="E299" s="82"/>
    </row>
    <row r="300">
      <c r="E300" s="82"/>
    </row>
    <row r="301">
      <c r="E301" s="82"/>
    </row>
    <row r="302">
      <c r="E302" s="82"/>
    </row>
    <row r="303">
      <c r="E303" s="82"/>
    </row>
    <row r="304">
      <c r="E304" s="82"/>
    </row>
    <row r="305">
      <c r="E305" s="82"/>
    </row>
    <row r="306">
      <c r="E306" s="82"/>
    </row>
    <row r="307">
      <c r="E307" s="82"/>
    </row>
    <row r="308">
      <c r="E308" s="82"/>
    </row>
    <row r="309">
      <c r="E309" s="82"/>
    </row>
    <row r="310">
      <c r="E310" s="82"/>
    </row>
    <row r="311">
      <c r="E311" s="82"/>
    </row>
    <row r="312">
      <c r="E312" s="82"/>
    </row>
    <row r="313">
      <c r="E313" s="82"/>
    </row>
    <row r="314">
      <c r="E314" s="82"/>
    </row>
    <row r="315">
      <c r="E315" s="82"/>
    </row>
    <row r="316">
      <c r="E316" s="82"/>
    </row>
    <row r="317">
      <c r="E317" s="82"/>
    </row>
    <row r="318">
      <c r="E318" s="82"/>
    </row>
    <row r="319">
      <c r="E319" s="82"/>
    </row>
    <row r="320">
      <c r="E320" s="82"/>
    </row>
    <row r="321">
      <c r="E321" s="82"/>
    </row>
    <row r="322">
      <c r="E322" s="82"/>
    </row>
    <row r="323">
      <c r="E323" s="82"/>
    </row>
    <row r="324">
      <c r="E324" s="82"/>
    </row>
    <row r="325">
      <c r="E325" s="82"/>
    </row>
    <row r="326">
      <c r="E326" s="82"/>
    </row>
    <row r="327">
      <c r="E327" s="82"/>
    </row>
    <row r="328">
      <c r="E328" s="82"/>
    </row>
    <row r="329">
      <c r="E329" s="82"/>
    </row>
    <row r="330">
      <c r="E330" s="82"/>
    </row>
    <row r="331">
      <c r="E331" s="82"/>
    </row>
    <row r="332">
      <c r="E332" s="82"/>
    </row>
    <row r="333">
      <c r="E333" s="82"/>
    </row>
    <row r="334">
      <c r="E334" s="82"/>
    </row>
    <row r="335">
      <c r="E335" s="82"/>
    </row>
    <row r="336">
      <c r="E336" s="82"/>
    </row>
    <row r="337">
      <c r="E337" s="82"/>
    </row>
    <row r="338">
      <c r="E338" s="82"/>
    </row>
    <row r="339">
      <c r="E339" s="82"/>
    </row>
    <row r="340">
      <c r="E340" s="82"/>
    </row>
    <row r="341">
      <c r="E341" s="82"/>
    </row>
    <row r="342">
      <c r="E342" s="82"/>
    </row>
    <row r="343">
      <c r="E343" s="82"/>
    </row>
    <row r="344">
      <c r="E344" s="82"/>
    </row>
    <row r="345">
      <c r="E345" s="82"/>
    </row>
    <row r="346">
      <c r="E346" s="82"/>
    </row>
    <row r="347">
      <c r="E347" s="82"/>
    </row>
    <row r="348">
      <c r="E348" s="82"/>
    </row>
    <row r="349">
      <c r="E349" s="82"/>
    </row>
    <row r="350">
      <c r="E350" s="82"/>
    </row>
    <row r="351">
      <c r="E351" s="82"/>
    </row>
    <row r="352">
      <c r="E352" s="82"/>
    </row>
    <row r="353">
      <c r="E353" s="82"/>
    </row>
    <row r="354">
      <c r="E354" s="82"/>
    </row>
    <row r="355">
      <c r="E355" s="82"/>
    </row>
    <row r="356">
      <c r="E356" s="82"/>
    </row>
    <row r="357">
      <c r="E357" s="82"/>
    </row>
    <row r="358">
      <c r="E358" s="82"/>
    </row>
    <row r="359">
      <c r="E359" s="82"/>
    </row>
    <row r="360">
      <c r="E360" s="82"/>
    </row>
    <row r="361">
      <c r="E361" s="82"/>
    </row>
    <row r="362">
      <c r="E362" s="82"/>
    </row>
    <row r="363">
      <c r="E363" s="82"/>
    </row>
    <row r="364">
      <c r="E364" s="82"/>
    </row>
    <row r="365">
      <c r="E365" s="82"/>
    </row>
    <row r="366">
      <c r="E366" s="82"/>
    </row>
    <row r="367">
      <c r="E367" s="82"/>
    </row>
    <row r="368">
      <c r="E368" s="82"/>
    </row>
    <row r="369">
      <c r="E369" s="82"/>
    </row>
    <row r="370">
      <c r="E370" s="82"/>
    </row>
    <row r="371">
      <c r="E371" s="82"/>
    </row>
    <row r="372">
      <c r="E372" s="82"/>
    </row>
    <row r="373">
      <c r="E373" s="82"/>
    </row>
    <row r="374">
      <c r="E374" s="82"/>
    </row>
    <row r="375">
      <c r="E375" s="82"/>
    </row>
    <row r="376">
      <c r="E376" s="82"/>
    </row>
    <row r="377">
      <c r="E377" s="82"/>
    </row>
    <row r="378">
      <c r="E378" s="82"/>
    </row>
    <row r="379">
      <c r="E379" s="82"/>
    </row>
    <row r="380">
      <c r="E380" s="82"/>
    </row>
    <row r="381">
      <c r="E381" s="82"/>
    </row>
    <row r="382">
      <c r="E382" s="82"/>
    </row>
    <row r="383">
      <c r="E383" s="82"/>
    </row>
    <row r="384">
      <c r="E384" s="82"/>
    </row>
    <row r="385">
      <c r="E385" s="82"/>
    </row>
    <row r="386">
      <c r="E386" s="82"/>
    </row>
    <row r="387">
      <c r="E387" s="82"/>
    </row>
    <row r="388">
      <c r="E388" s="82"/>
    </row>
    <row r="389">
      <c r="E389" s="82"/>
    </row>
    <row r="390">
      <c r="E390" s="82"/>
    </row>
    <row r="391">
      <c r="E391" s="82"/>
    </row>
    <row r="392">
      <c r="E392" s="82"/>
    </row>
    <row r="393">
      <c r="E393" s="82"/>
    </row>
    <row r="394">
      <c r="E394" s="82"/>
    </row>
    <row r="395">
      <c r="E395" s="82"/>
    </row>
    <row r="396">
      <c r="E396" s="82"/>
    </row>
    <row r="397">
      <c r="E397" s="82"/>
    </row>
    <row r="398">
      <c r="E398" s="82"/>
    </row>
    <row r="399">
      <c r="E399" s="82"/>
    </row>
    <row r="400">
      <c r="E400" s="82"/>
    </row>
    <row r="401">
      <c r="E401" s="82"/>
    </row>
    <row r="402">
      <c r="E402" s="82"/>
    </row>
    <row r="403">
      <c r="E403" s="82"/>
    </row>
    <row r="404">
      <c r="E404" s="82"/>
    </row>
    <row r="405">
      <c r="E405" s="82"/>
    </row>
    <row r="406">
      <c r="E406" s="82"/>
    </row>
    <row r="407">
      <c r="E407" s="82"/>
    </row>
    <row r="408">
      <c r="E408" s="82"/>
    </row>
    <row r="409">
      <c r="E409" s="82"/>
    </row>
    <row r="410">
      <c r="E410" s="82"/>
    </row>
    <row r="411">
      <c r="E411" s="82"/>
    </row>
    <row r="412">
      <c r="E412" s="82"/>
    </row>
    <row r="413">
      <c r="E413" s="82"/>
    </row>
    <row r="414">
      <c r="E414" s="82"/>
    </row>
    <row r="415">
      <c r="E415" s="82"/>
    </row>
    <row r="416">
      <c r="E416" s="82"/>
    </row>
    <row r="417">
      <c r="E417" s="82"/>
    </row>
    <row r="418">
      <c r="E418" s="82"/>
    </row>
    <row r="419">
      <c r="E419" s="82"/>
    </row>
    <row r="420">
      <c r="E420" s="82"/>
    </row>
    <row r="421">
      <c r="E421" s="82"/>
    </row>
    <row r="422">
      <c r="E422" s="82"/>
    </row>
    <row r="423">
      <c r="E423" s="82"/>
    </row>
    <row r="424">
      <c r="E424" s="82"/>
    </row>
    <row r="425">
      <c r="E425" s="82"/>
    </row>
    <row r="426">
      <c r="E426" s="82"/>
    </row>
    <row r="427">
      <c r="E427" s="82"/>
    </row>
    <row r="428">
      <c r="E428" s="82"/>
    </row>
    <row r="429">
      <c r="E429" s="82"/>
    </row>
    <row r="430">
      <c r="E430" s="82"/>
    </row>
    <row r="431">
      <c r="E431" s="82"/>
    </row>
    <row r="432">
      <c r="E432" s="82"/>
    </row>
    <row r="433">
      <c r="E433" s="82"/>
    </row>
    <row r="434">
      <c r="E434" s="82"/>
    </row>
    <row r="435">
      <c r="E435" s="82"/>
    </row>
    <row r="436">
      <c r="E436" s="82"/>
    </row>
    <row r="437">
      <c r="E437" s="82"/>
    </row>
    <row r="438">
      <c r="E438" s="82"/>
    </row>
    <row r="439">
      <c r="E439" s="82"/>
    </row>
    <row r="440">
      <c r="E440" s="82"/>
    </row>
    <row r="441">
      <c r="E441" s="82"/>
    </row>
    <row r="442">
      <c r="E442" s="82"/>
    </row>
    <row r="443">
      <c r="E443" s="82"/>
    </row>
    <row r="444">
      <c r="E444" s="82"/>
    </row>
    <row r="445">
      <c r="E445" s="82"/>
    </row>
    <row r="446">
      <c r="E446" s="82"/>
    </row>
    <row r="447">
      <c r="E447" s="82"/>
    </row>
    <row r="448">
      <c r="E448" s="82"/>
    </row>
    <row r="449">
      <c r="E449" s="82"/>
    </row>
    <row r="450">
      <c r="E450" s="82"/>
    </row>
    <row r="451">
      <c r="E451" s="82"/>
    </row>
    <row r="452">
      <c r="E452" s="82"/>
    </row>
    <row r="453">
      <c r="E453" s="82"/>
    </row>
    <row r="454">
      <c r="E454" s="82"/>
    </row>
    <row r="455">
      <c r="E455" s="82"/>
    </row>
    <row r="456">
      <c r="E456" s="82"/>
    </row>
    <row r="457">
      <c r="E457" s="82"/>
    </row>
    <row r="458">
      <c r="E458" s="82"/>
    </row>
    <row r="459">
      <c r="E459" s="82"/>
    </row>
    <row r="460">
      <c r="E460" s="82"/>
    </row>
    <row r="461">
      <c r="E461" s="82"/>
    </row>
    <row r="462">
      <c r="E462" s="82"/>
    </row>
    <row r="463">
      <c r="E463" s="82"/>
    </row>
    <row r="464">
      <c r="E464" s="82"/>
    </row>
    <row r="465">
      <c r="E465" s="82"/>
    </row>
    <row r="466">
      <c r="E466" s="82"/>
    </row>
    <row r="467">
      <c r="E467" s="82"/>
    </row>
    <row r="468">
      <c r="E468" s="82"/>
    </row>
    <row r="469">
      <c r="E469" s="82"/>
    </row>
    <row r="470">
      <c r="E470" s="82"/>
    </row>
    <row r="471">
      <c r="E471" s="82"/>
    </row>
    <row r="472">
      <c r="E472" s="82"/>
    </row>
    <row r="473">
      <c r="E473" s="82"/>
    </row>
    <row r="474">
      <c r="E474" s="82"/>
    </row>
    <row r="475">
      <c r="E475" s="82"/>
    </row>
    <row r="476">
      <c r="E476" s="82"/>
    </row>
    <row r="477">
      <c r="E477" s="82"/>
    </row>
    <row r="478">
      <c r="E478" s="82"/>
    </row>
    <row r="479">
      <c r="E479" s="82"/>
    </row>
    <row r="480">
      <c r="E480" s="82"/>
    </row>
    <row r="481">
      <c r="E481" s="82"/>
    </row>
    <row r="482">
      <c r="E482" s="82"/>
    </row>
    <row r="483">
      <c r="E483" s="82"/>
    </row>
    <row r="484">
      <c r="E484" s="82"/>
    </row>
    <row r="485">
      <c r="E485" s="82"/>
    </row>
    <row r="486">
      <c r="E486" s="82"/>
    </row>
    <row r="487">
      <c r="E487" s="82"/>
    </row>
    <row r="488">
      <c r="E488" s="82"/>
    </row>
    <row r="489">
      <c r="E489" s="82"/>
    </row>
    <row r="490">
      <c r="E490" s="82"/>
    </row>
    <row r="491">
      <c r="E491" s="82"/>
    </row>
    <row r="492">
      <c r="E492" s="82"/>
    </row>
    <row r="493">
      <c r="E493" s="82"/>
    </row>
    <row r="494">
      <c r="E494" s="82"/>
    </row>
    <row r="495">
      <c r="E495" s="82"/>
    </row>
    <row r="496">
      <c r="E496" s="82"/>
    </row>
    <row r="497">
      <c r="E497" s="82"/>
    </row>
    <row r="498">
      <c r="E498" s="82"/>
    </row>
    <row r="499">
      <c r="E499" s="82"/>
    </row>
    <row r="500">
      <c r="E500" s="82"/>
    </row>
    <row r="501">
      <c r="E501" s="82"/>
    </row>
    <row r="502">
      <c r="E502" s="82"/>
    </row>
    <row r="503">
      <c r="E503" s="82"/>
    </row>
    <row r="504">
      <c r="E504" s="82"/>
    </row>
    <row r="505">
      <c r="E505" s="82"/>
    </row>
    <row r="506">
      <c r="E506" s="82"/>
    </row>
    <row r="507">
      <c r="E507" s="82"/>
    </row>
    <row r="508">
      <c r="E508" s="82"/>
    </row>
    <row r="509">
      <c r="E509" s="82"/>
    </row>
    <row r="510">
      <c r="E510" s="82"/>
    </row>
    <row r="511">
      <c r="E511" s="82"/>
    </row>
    <row r="512">
      <c r="E512" s="82"/>
    </row>
    <row r="513">
      <c r="E513" s="82"/>
    </row>
    <row r="514">
      <c r="E514" s="82"/>
    </row>
    <row r="515">
      <c r="E515" s="82"/>
    </row>
    <row r="516">
      <c r="E516" s="82"/>
    </row>
    <row r="517">
      <c r="E517" s="82"/>
    </row>
    <row r="518">
      <c r="E518" s="82"/>
    </row>
    <row r="519">
      <c r="E519" s="82"/>
    </row>
    <row r="520">
      <c r="E520" s="82"/>
    </row>
    <row r="521">
      <c r="E521" s="82"/>
    </row>
    <row r="522">
      <c r="E522" s="82"/>
    </row>
    <row r="523">
      <c r="E523" s="82"/>
    </row>
    <row r="524">
      <c r="E524" s="82"/>
    </row>
    <row r="525">
      <c r="E525" s="82"/>
    </row>
    <row r="526">
      <c r="E526" s="82"/>
    </row>
    <row r="527">
      <c r="E527" s="82"/>
    </row>
    <row r="528">
      <c r="E528" s="82"/>
    </row>
    <row r="529">
      <c r="E529" s="82"/>
    </row>
    <row r="530">
      <c r="E530" s="82"/>
    </row>
    <row r="531">
      <c r="E531" s="82"/>
    </row>
    <row r="532">
      <c r="E532" s="82"/>
    </row>
    <row r="533">
      <c r="E533" s="82"/>
    </row>
    <row r="534">
      <c r="E534" s="82"/>
    </row>
    <row r="535">
      <c r="E535" s="82"/>
    </row>
    <row r="536">
      <c r="E536" s="82"/>
    </row>
    <row r="537">
      <c r="E537" s="82"/>
    </row>
    <row r="538">
      <c r="E538" s="82"/>
    </row>
    <row r="539">
      <c r="E539" s="82"/>
    </row>
    <row r="540">
      <c r="E540" s="82"/>
    </row>
    <row r="541">
      <c r="E541" s="82"/>
    </row>
    <row r="542">
      <c r="E542" s="82"/>
    </row>
    <row r="543">
      <c r="E543" s="82"/>
    </row>
    <row r="544">
      <c r="E544" s="82"/>
    </row>
    <row r="545">
      <c r="E545" s="82"/>
    </row>
    <row r="546">
      <c r="E546" s="82"/>
    </row>
    <row r="547">
      <c r="E547" s="82"/>
    </row>
    <row r="548">
      <c r="E548" s="82"/>
    </row>
    <row r="549">
      <c r="E549" s="82"/>
    </row>
    <row r="550">
      <c r="E550" s="82"/>
    </row>
    <row r="551">
      <c r="E551" s="82"/>
    </row>
    <row r="552">
      <c r="E552" s="82"/>
    </row>
    <row r="553">
      <c r="E553" s="82"/>
    </row>
    <row r="554">
      <c r="E554" s="82"/>
    </row>
    <row r="555">
      <c r="E555" s="82"/>
    </row>
    <row r="556">
      <c r="E556" s="82"/>
    </row>
    <row r="557">
      <c r="E557" s="82"/>
    </row>
    <row r="558">
      <c r="E558" s="82"/>
    </row>
    <row r="559">
      <c r="E559" s="82"/>
    </row>
    <row r="560">
      <c r="E560" s="82"/>
    </row>
    <row r="561">
      <c r="E561" s="82"/>
    </row>
    <row r="562">
      <c r="E562" s="82"/>
    </row>
    <row r="563">
      <c r="E563" s="82"/>
    </row>
    <row r="564">
      <c r="E564" s="82"/>
    </row>
    <row r="565">
      <c r="E565" s="82"/>
    </row>
    <row r="566">
      <c r="E566" s="82"/>
    </row>
    <row r="567">
      <c r="E567" s="82"/>
    </row>
    <row r="568">
      <c r="E568" s="82"/>
    </row>
    <row r="569">
      <c r="E569" s="82"/>
    </row>
    <row r="570">
      <c r="E570" s="82"/>
    </row>
    <row r="571">
      <c r="E571" s="82"/>
    </row>
    <row r="572">
      <c r="E572" s="82"/>
    </row>
    <row r="573">
      <c r="E573" s="82"/>
    </row>
    <row r="574">
      <c r="E574" s="82"/>
    </row>
    <row r="575">
      <c r="E575" s="82"/>
    </row>
    <row r="576">
      <c r="E576" s="82"/>
    </row>
    <row r="577">
      <c r="E577" s="82"/>
    </row>
    <row r="578">
      <c r="E578" s="82"/>
    </row>
    <row r="579">
      <c r="E579" s="82"/>
    </row>
    <row r="580">
      <c r="E580" s="82"/>
    </row>
    <row r="581">
      <c r="E581" s="82"/>
    </row>
    <row r="582">
      <c r="E582" s="82"/>
    </row>
    <row r="583">
      <c r="E583" s="82"/>
    </row>
    <row r="584">
      <c r="E584" s="82"/>
    </row>
    <row r="585">
      <c r="E585" s="82"/>
    </row>
    <row r="586">
      <c r="E586" s="82"/>
    </row>
    <row r="587">
      <c r="E587" s="82"/>
    </row>
    <row r="588">
      <c r="E588" s="82"/>
    </row>
    <row r="589">
      <c r="E589" s="82"/>
    </row>
    <row r="590">
      <c r="E590" s="82"/>
    </row>
    <row r="591">
      <c r="E591" s="82"/>
    </row>
    <row r="592">
      <c r="E592" s="82"/>
    </row>
    <row r="593">
      <c r="E593" s="82"/>
    </row>
    <row r="594">
      <c r="E594" s="82"/>
    </row>
    <row r="595">
      <c r="E595" s="82"/>
    </row>
    <row r="596">
      <c r="E596" s="82"/>
    </row>
    <row r="597">
      <c r="E597" s="82"/>
    </row>
    <row r="598">
      <c r="E598" s="82"/>
    </row>
    <row r="599">
      <c r="E599" s="82"/>
    </row>
    <row r="600">
      <c r="E600" s="82"/>
    </row>
    <row r="601">
      <c r="E601" s="82"/>
    </row>
    <row r="602">
      <c r="E602" s="82"/>
    </row>
    <row r="603">
      <c r="E603" s="82"/>
    </row>
    <row r="604">
      <c r="E604" s="82"/>
    </row>
    <row r="605">
      <c r="E605" s="82"/>
    </row>
    <row r="606">
      <c r="E606" s="82"/>
    </row>
    <row r="607">
      <c r="E607" s="82"/>
    </row>
    <row r="608">
      <c r="E608" s="82"/>
    </row>
    <row r="609">
      <c r="E609" s="82"/>
    </row>
    <row r="610">
      <c r="E610" s="82"/>
    </row>
    <row r="611">
      <c r="E611" s="82"/>
    </row>
    <row r="612">
      <c r="E612" s="82"/>
    </row>
    <row r="613">
      <c r="E613" s="82"/>
    </row>
    <row r="614">
      <c r="E614" s="82"/>
    </row>
    <row r="615">
      <c r="E615" s="82"/>
    </row>
    <row r="616">
      <c r="E616" s="82"/>
    </row>
    <row r="617">
      <c r="E617" s="82"/>
    </row>
    <row r="618">
      <c r="E618" s="82"/>
    </row>
    <row r="619">
      <c r="E619" s="82"/>
    </row>
    <row r="620">
      <c r="E620" s="82"/>
    </row>
    <row r="621">
      <c r="E621" s="82"/>
    </row>
    <row r="622">
      <c r="E622" s="82"/>
    </row>
    <row r="623">
      <c r="E623" s="82"/>
    </row>
    <row r="624">
      <c r="E624" s="82"/>
    </row>
    <row r="625">
      <c r="E625" s="82"/>
    </row>
    <row r="626">
      <c r="E626" s="82"/>
    </row>
    <row r="627">
      <c r="E627" s="82"/>
    </row>
    <row r="628">
      <c r="E628" s="82"/>
    </row>
    <row r="629">
      <c r="E629" s="82"/>
    </row>
    <row r="630">
      <c r="E630" s="82"/>
    </row>
    <row r="631">
      <c r="E631" s="82"/>
    </row>
    <row r="632">
      <c r="E632" s="82"/>
    </row>
    <row r="633">
      <c r="E633" s="82"/>
    </row>
    <row r="634">
      <c r="E634" s="82"/>
    </row>
    <row r="635">
      <c r="E635" s="82"/>
    </row>
    <row r="636">
      <c r="E636" s="82"/>
    </row>
    <row r="637">
      <c r="E637" s="82"/>
    </row>
    <row r="638">
      <c r="E638" s="82"/>
    </row>
    <row r="639">
      <c r="E639" s="82"/>
    </row>
    <row r="640">
      <c r="E640" s="82"/>
    </row>
    <row r="641">
      <c r="E641" s="82"/>
    </row>
    <row r="642">
      <c r="E642" s="82"/>
    </row>
    <row r="643">
      <c r="E643" s="82"/>
    </row>
    <row r="644">
      <c r="E644" s="82"/>
    </row>
    <row r="645">
      <c r="E645" s="82"/>
    </row>
    <row r="646">
      <c r="E646" s="82"/>
    </row>
    <row r="647">
      <c r="E647" s="82"/>
    </row>
    <row r="648">
      <c r="E648" s="82"/>
    </row>
    <row r="649">
      <c r="E649" s="82"/>
    </row>
    <row r="650">
      <c r="E650" s="82"/>
    </row>
    <row r="651">
      <c r="E651" s="82"/>
    </row>
    <row r="652">
      <c r="E652" s="82"/>
    </row>
    <row r="653">
      <c r="E653" s="82"/>
    </row>
    <row r="654">
      <c r="E654" s="82"/>
    </row>
    <row r="655">
      <c r="E655" s="82"/>
    </row>
    <row r="656">
      <c r="E656" s="82"/>
    </row>
    <row r="657">
      <c r="E657" s="82"/>
    </row>
    <row r="658">
      <c r="E658" s="82"/>
    </row>
    <row r="659">
      <c r="E659" s="82"/>
    </row>
    <row r="660">
      <c r="E660" s="82"/>
    </row>
    <row r="661">
      <c r="E661" s="82"/>
    </row>
    <row r="662">
      <c r="E662" s="82"/>
    </row>
    <row r="663">
      <c r="E663" s="82"/>
    </row>
    <row r="664">
      <c r="E664" s="82"/>
    </row>
    <row r="665">
      <c r="E665" s="82"/>
    </row>
    <row r="666">
      <c r="E666" s="82"/>
    </row>
    <row r="667">
      <c r="E667" s="82"/>
    </row>
    <row r="668">
      <c r="E668" s="82"/>
    </row>
    <row r="669">
      <c r="E669" s="82"/>
    </row>
    <row r="670">
      <c r="E670" s="82"/>
    </row>
    <row r="671">
      <c r="E671" s="82"/>
    </row>
    <row r="672">
      <c r="E672" s="82"/>
    </row>
    <row r="673">
      <c r="E673" s="82"/>
    </row>
    <row r="674">
      <c r="E674" s="82"/>
    </row>
    <row r="675">
      <c r="E675" s="82"/>
    </row>
    <row r="676">
      <c r="E676" s="82"/>
    </row>
    <row r="677">
      <c r="E677" s="82"/>
    </row>
    <row r="678">
      <c r="E678" s="82"/>
    </row>
    <row r="679">
      <c r="E679" s="82"/>
    </row>
    <row r="680">
      <c r="E680" s="82"/>
    </row>
    <row r="681">
      <c r="E681" s="82"/>
    </row>
    <row r="682">
      <c r="E682" s="82"/>
    </row>
    <row r="683">
      <c r="E683" s="82"/>
    </row>
    <row r="684">
      <c r="E684" s="82"/>
    </row>
    <row r="685">
      <c r="E685" s="82"/>
    </row>
    <row r="686">
      <c r="E686" s="82"/>
    </row>
    <row r="687">
      <c r="E687" s="82"/>
    </row>
    <row r="688">
      <c r="E688" s="82"/>
    </row>
    <row r="689">
      <c r="E689" s="82"/>
    </row>
    <row r="690">
      <c r="E690" s="82"/>
    </row>
    <row r="691">
      <c r="E691" s="82"/>
    </row>
    <row r="692">
      <c r="E692" s="82"/>
    </row>
    <row r="693">
      <c r="E693" s="82"/>
    </row>
    <row r="694">
      <c r="E694" s="82"/>
    </row>
    <row r="695">
      <c r="E695" s="82"/>
    </row>
    <row r="696">
      <c r="E696" s="82"/>
    </row>
    <row r="697">
      <c r="E697" s="82"/>
    </row>
    <row r="698">
      <c r="E698" s="82"/>
    </row>
    <row r="699">
      <c r="E699" s="82"/>
    </row>
    <row r="700">
      <c r="E700" s="82"/>
    </row>
    <row r="701">
      <c r="E701" s="82"/>
    </row>
    <row r="702">
      <c r="E702" s="82"/>
    </row>
    <row r="703">
      <c r="E703" s="82"/>
    </row>
    <row r="704">
      <c r="E704" s="82"/>
    </row>
    <row r="705">
      <c r="E705" s="82"/>
    </row>
    <row r="706">
      <c r="E706" s="82"/>
    </row>
    <row r="707">
      <c r="E707" s="82"/>
    </row>
    <row r="708">
      <c r="E708" s="82"/>
    </row>
    <row r="709">
      <c r="E709" s="82"/>
    </row>
    <row r="710">
      <c r="E710" s="82"/>
    </row>
    <row r="711">
      <c r="E711" s="82"/>
    </row>
    <row r="712">
      <c r="E712" s="82"/>
    </row>
    <row r="713">
      <c r="E713" s="82"/>
    </row>
    <row r="714">
      <c r="E714" s="82"/>
    </row>
    <row r="715">
      <c r="E715" s="82"/>
    </row>
    <row r="716">
      <c r="E716" s="82"/>
    </row>
    <row r="717">
      <c r="E717" s="82"/>
    </row>
    <row r="718">
      <c r="E718" s="82"/>
    </row>
    <row r="719">
      <c r="E719" s="82"/>
    </row>
    <row r="720">
      <c r="E720" s="82"/>
    </row>
    <row r="721">
      <c r="E721" s="82"/>
    </row>
    <row r="722">
      <c r="E722" s="82"/>
    </row>
    <row r="723">
      <c r="E723" s="82"/>
    </row>
    <row r="724">
      <c r="E724" s="82"/>
    </row>
    <row r="725">
      <c r="E725" s="82"/>
    </row>
    <row r="726">
      <c r="E726" s="82"/>
    </row>
    <row r="727">
      <c r="E727" s="82"/>
    </row>
    <row r="728">
      <c r="E728" s="82"/>
    </row>
    <row r="729">
      <c r="E729" s="82"/>
    </row>
    <row r="730">
      <c r="E730" s="82"/>
    </row>
    <row r="731">
      <c r="E731" s="82"/>
    </row>
    <row r="732">
      <c r="E732" s="82"/>
    </row>
    <row r="733">
      <c r="E733" s="82"/>
    </row>
    <row r="734">
      <c r="E734" s="82"/>
    </row>
    <row r="735">
      <c r="E735" s="82"/>
    </row>
    <row r="736">
      <c r="E736" s="82"/>
    </row>
    <row r="737">
      <c r="E737" s="82"/>
    </row>
    <row r="738">
      <c r="E738" s="82"/>
    </row>
    <row r="739">
      <c r="E739" s="82"/>
    </row>
    <row r="740">
      <c r="E740" s="82"/>
    </row>
    <row r="741">
      <c r="E741" s="82"/>
    </row>
    <row r="742">
      <c r="E742" s="82"/>
    </row>
    <row r="743">
      <c r="E743" s="82"/>
    </row>
    <row r="744">
      <c r="E744" s="82"/>
    </row>
    <row r="745">
      <c r="E745" s="82"/>
    </row>
    <row r="746">
      <c r="E746" s="82"/>
    </row>
    <row r="747">
      <c r="E747" s="82"/>
    </row>
    <row r="748">
      <c r="E748" s="82"/>
    </row>
    <row r="749">
      <c r="E749" s="82"/>
    </row>
    <row r="750">
      <c r="E750" s="82"/>
    </row>
    <row r="751">
      <c r="E751" s="82"/>
    </row>
    <row r="752">
      <c r="E752" s="82"/>
    </row>
    <row r="753">
      <c r="E753" s="82"/>
    </row>
    <row r="754">
      <c r="E754" s="82"/>
    </row>
    <row r="755">
      <c r="E755" s="82"/>
    </row>
    <row r="756">
      <c r="E756" s="82"/>
    </row>
    <row r="757">
      <c r="E757" s="82"/>
    </row>
    <row r="758">
      <c r="E758" s="82"/>
    </row>
    <row r="759">
      <c r="E759" s="82"/>
    </row>
    <row r="760">
      <c r="E760" s="82"/>
    </row>
    <row r="761">
      <c r="E761" s="82"/>
    </row>
    <row r="762">
      <c r="E762" s="82"/>
    </row>
    <row r="763">
      <c r="E763" s="82"/>
    </row>
    <row r="764">
      <c r="E764" s="82"/>
    </row>
    <row r="765">
      <c r="E765" s="82"/>
    </row>
    <row r="766">
      <c r="E766" s="82"/>
    </row>
    <row r="767">
      <c r="E767" s="82"/>
    </row>
    <row r="768">
      <c r="E768" s="82"/>
    </row>
    <row r="769">
      <c r="E769" s="82"/>
    </row>
    <row r="770">
      <c r="E770" s="82"/>
    </row>
    <row r="771">
      <c r="E771" s="82"/>
    </row>
    <row r="772">
      <c r="E772" s="82"/>
    </row>
    <row r="773">
      <c r="E773" s="82"/>
    </row>
    <row r="774">
      <c r="E774" s="82"/>
    </row>
    <row r="775">
      <c r="E775" s="82"/>
    </row>
    <row r="776">
      <c r="E776" s="82"/>
    </row>
    <row r="777">
      <c r="E777" s="82"/>
    </row>
    <row r="778">
      <c r="E778" s="82"/>
    </row>
    <row r="779">
      <c r="E779" s="82"/>
    </row>
    <row r="780">
      <c r="E780" s="82"/>
    </row>
    <row r="781">
      <c r="E781" s="82"/>
    </row>
    <row r="782">
      <c r="E782" s="82"/>
    </row>
    <row r="783">
      <c r="E783" s="82"/>
    </row>
    <row r="784">
      <c r="E784" s="82"/>
    </row>
    <row r="785">
      <c r="E785" s="82"/>
    </row>
    <row r="786">
      <c r="E786" s="82"/>
    </row>
    <row r="787">
      <c r="E787" s="82"/>
    </row>
    <row r="788">
      <c r="E788" s="82"/>
    </row>
    <row r="789">
      <c r="E789" s="82"/>
    </row>
    <row r="790">
      <c r="E790" s="82"/>
    </row>
    <row r="791">
      <c r="E791" s="82"/>
    </row>
    <row r="792">
      <c r="E792" s="82"/>
    </row>
    <row r="793">
      <c r="E793" s="82"/>
    </row>
    <row r="794">
      <c r="E794" s="82"/>
    </row>
    <row r="795">
      <c r="E795" s="82"/>
    </row>
    <row r="796">
      <c r="E796" s="82"/>
    </row>
    <row r="797">
      <c r="E797" s="82"/>
    </row>
    <row r="798">
      <c r="E798" s="82"/>
    </row>
    <row r="799">
      <c r="E799" s="82"/>
    </row>
    <row r="800">
      <c r="E800" s="82"/>
    </row>
    <row r="801">
      <c r="E801" s="82"/>
    </row>
    <row r="802">
      <c r="E802" s="82"/>
    </row>
    <row r="803">
      <c r="E803" s="82"/>
    </row>
    <row r="804">
      <c r="E804" s="82"/>
    </row>
    <row r="805">
      <c r="E805" s="82"/>
    </row>
    <row r="806">
      <c r="E806" s="82"/>
    </row>
    <row r="807">
      <c r="E807" s="82"/>
    </row>
    <row r="808">
      <c r="E808" s="82"/>
    </row>
    <row r="809">
      <c r="E809" s="82"/>
    </row>
    <row r="810">
      <c r="E810" s="82"/>
    </row>
    <row r="811">
      <c r="E811" s="82"/>
    </row>
    <row r="812">
      <c r="E812" s="82"/>
    </row>
    <row r="813">
      <c r="E813" s="82"/>
    </row>
    <row r="814">
      <c r="E814" s="82"/>
    </row>
    <row r="815">
      <c r="E815" s="82"/>
    </row>
    <row r="816">
      <c r="E816" s="82"/>
    </row>
    <row r="817">
      <c r="E817" s="82"/>
    </row>
    <row r="818">
      <c r="E818" s="82"/>
    </row>
    <row r="819">
      <c r="E819" s="82"/>
    </row>
    <row r="820">
      <c r="E820" s="82"/>
    </row>
    <row r="821">
      <c r="E821" s="82"/>
    </row>
    <row r="822">
      <c r="E822" s="82"/>
    </row>
    <row r="823">
      <c r="E823" s="82"/>
    </row>
    <row r="824">
      <c r="E824" s="82"/>
    </row>
    <row r="825">
      <c r="E825" s="82"/>
    </row>
    <row r="826">
      <c r="E826" s="82"/>
    </row>
    <row r="827">
      <c r="E827" s="82"/>
    </row>
    <row r="828">
      <c r="E828" s="82"/>
    </row>
    <row r="829">
      <c r="E829" s="82"/>
    </row>
    <row r="830">
      <c r="E830" s="82"/>
    </row>
    <row r="831">
      <c r="E831" s="82"/>
    </row>
    <row r="832">
      <c r="E832" s="82"/>
    </row>
    <row r="833">
      <c r="E833" s="82"/>
    </row>
    <row r="834">
      <c r="E834" s="82"/>
    </row>
    <row r="835">
      <c r="E835" s="82"/>
    </row>
    <row r="836">
      <c r="E836" s="82"/>
    </row>
    <row r="837">
      <c r="E837" s="82"/>
    </row>
    <row r="838">
      <c r="E838" s="82"/>
    </row>
    <row r="839">
      <c r="E839" s="82"/>
    </row>
    <row r="840">
      <c r="E840" s="82"/>
    </row>
    <row r="841">
      <c r="E841" s="82"/>
    </row>
    <row r="842">
      <c r="E842" s="82"/>
    </row>
    <row r="843">
      <c r="E843" s="82"/>
    </row>
    <row r="844">
      <c r="E844" s="82"/>
    </row>
    <row r="845">
      <c r="E845" s="82"/>
    </row>
    <row r="846">
      <c r="E846" s="82"/>
    </row>
    <row r="847">
      <c r="E847" s="82"/>
    </row>
    <row r="848">
      <c r="E848" s="82"/>
    </row>
    <row r="849">
      <c r="E849" s="82"/>
    </row>
    <row r="850">
      <c r="E850" s="82"/>
    </row>
    <row r="851">
      <c r="E851" s="82"/>
    </row>
    <row r="852">
      <c r="E852" s="82"/>
    </row>
    <row r="853">
      <c r="E853" s="82"/>
    </row>
    <row r="854">
      <c r="E854" s="82"/>
    </row>
    <row r="855">
      <c r="E855" s="82"/>
    </row>
    <row r="856">
      <c r="E856" s="82"/>
    </row>
    <row r="857">
      <c r="E857" s="82"/>
    </row>
    <row r="858">
      <c r="E858" s="82"/>
    </row>
    <row r="859">
      <c r="E859" s="82"/>
    </row>
    <row r="860">
      <c r="E860" s="82"/>
    </row>
    <row r="861">
      <c r="E861" s="82"/>
    </row>
    <row r="862">
      <c r="E862" s="82"/>
    </row>
    <row r="863">
      <c r="E863" s="82"/>
    </row>
    <row r="864">
      <c r="E864" s="82"/>
    </row>
    <row r="865">
      <c r="E865" s="82"/>
    </row>
    <row r="866">
      <c r="E866" s="82"/>
    </row>
    <row r="867">
      <c r="E867" s="82"/>
    </row>
    <row r="868">
      <c r="E868" s="82"/>
    </row>
    <row r="869">
      <c r="E869" s="82"/>
    </row>
    <row r="870">
      <c r="E870" s="82"/>
    </row>
    <row r="871">
      <c r="E871" s="82"/>
    </row>
    <row r="872">
      <c r="E872" s="82"/>
    </row>
    <row r="873">
      <c r="E873" s="82"/>
    </row>
    <row r="874">
      <c r="E874" s="82"/>
    </row>
    <row r="875">
      <c r="E875" s="82"/>
    </row>
    <row r="876">
      <c r="E876" s="82"/>
    </row>
    <row r="877">
      <c r="E877" s="82"/>
    </row>
    <row r="878">
      <c r="E878" s="82"/>
    </row>
    <row r="879">
      <c r="E879" s="82"/>
    </row>
    <row r="880">
      <c r="E880" s="82"/>
    </row>
    <row r="881">
      <c r="E881" s="82"/>
    </row>
    <row r="882">
      <c r="E882" s="82"/>
    </row>
    <row r="883">
      <c r="E883" s="82"/>
    </row>
    <row r="884">
      <c r="E884" s="82"/>
    </row>
    <row r="885">
      <c r="E885" s="82"/>
    </row>
    <row r="886">
      <c r="E886" s="82"/>
    </row>
    <row r="887">
      <c r="E887" s="82"/>
    </row>
    <row r="888">
      <c r="E888" s="82"/>
    </row>
    <row r="889">
      <c r="E889" s="82"/>
    </row>
    <row r="890">
      <c r="E890" s="82"/>
    </row>
    <row r="891">
      <c r="E891" s="82"/>
    </row>
    <row r="892">
      <c r="E892" s="82"/>
    </row>
    <row r="893">
      <c r="E893" s="82"/>
    </row>
    <row r="894">
      <c r="E894" s="82"/>
    </row>
    <row r="895">
      <c r="E895" s="82"/>
    </row>
    <row r="896">
      <c r="E896" s="82"/>
    </row>
    <row r="897">
      <c r="E897" s="82"/>
    </row>
    <row r="898">
      <c r="E898" s="82"/>
    </row>
    <row r="899">
      <c r="E899" s="82"/>
    </row>
    <row r="900">
      <c r="E900" s="82"/>
    </row>
    <row r="901">
      <c r="E901" s="82"/>
    </row>
    <row r="902">
      <c r="E902" s="82"/>
    </row>
    <row r="903">
      <c r="E903" s="82"/>
    </row>
    <row r="904">
      <c r="E904" s="82"/>
    </row>
    <row r="905">
      <c r="E905" s="82"/>
    </row>
    <row r="906">
      <c r="E906" s="82"/>
    </row>
    <row r="907">
      <c r="E907" s="82"/>
    </row>
    <row r="908">
      <c r="E908" s="82"/>
    </row>
    <row r="909">
      <c r="E909" s="82"/>
    </row>
    <row r="910">
      <c r="E910" s="82"/>
    </row>
    <row r="911">
      <c r="E911" s="82"/>
    </row>
    <row r="912">
      <c r="E912" s="82"/>
    </row>
    <row r="913">
      <c r="E913" s="82"/>
    </row>
    <row r="914">
      <c r="E914" s="82"/>
    </row>
    <row r="915">
      <c r="E915" s="82"/>
    </row>
    <row r="916">
      <c r="E916" s="82"/>
    </row>
    <row r="917">
      <c r="E917" s="82"/>
    </row>
    <row r="918">
      <c r="E918" s="82"/>
    </row>
    <row r="919">
      <c r="E919" s="82"/>
    </row>
    <row r="920">
      <c r="E920" s="82"/>
    </row>
    <row r="921">
      <c r="E921" s="82"/>
    </row>
    <row r="922">
      <c r="E922" s="82"/>
    </row>
    <row r="923">
      <c r="E923" s="82"/>
    </row>
    <row r="924">
      <c r="E924" s="82"/>
    </row>
    <row r="925">
      <c r="E925" s="82"/>
    </row>
    <row r="926">
      <c r="E926" s="82"/>
    </row>
    <row r="927">
      <c r="E927" s="82"/>
    </row>
    <row r="928">
      <c r="E928" s="82"/>
    </row>
    <row r="929">
      <c r="E929" s="82"/>
    </row>
    <row r="930">
      <c r="E930" s="82"/>
    </row>
    <row r="931">
      <c r="E931" s="82"/>
    </row>
    <row r="932">
      <c r="E932" s="82"/>
    </row>
    <row r="933">
      <c r="E933" s="82"/>
    </row>
    <row r="934">
      <c r="E934" s="82"/>
    </row>
    <row r="935">
      <c r="E935" s="82"/>
    </row>
    <row r="936">
      <c r="E936" s="82"/>
    </row>
    <row r="937">
      <c r="E937" s="82"/>
    </row>
    <row r="938">
      <c r="E938" s="82"/>
    </row>
    <row r="939">
      <c r="E939" s="82"/>
    </row>
    <row r="940">
      <c r="E940" s="82"/>
    </row>
    <row r="941">
      <c r="E941" s="82"/>
    </row>
    <row r="942">
      <c r="E942" s="82"/>
    </row>
    <row r="943">
      <c r="E943" s="82"/>
    </row>
    <row r="944">
      <c r="E944" s="82"/>
    </row>
    <row r="945">
      <c r="E945" s="82"/>
    </row>
    <row r="946">
      <c r="E946" s="82"/>
    </row>
    <row r="947">
      <c r="E947" s="82"/>
    </row>
    <row r="948">
      <c r="E948" s="82"/>
    </row>
    <row r="949">
      <c r="E949" s="82"/>
    </row>
    <row r="950">
      <c r="E950" s="82"/>
    </row>
    <row r="951">
      <c r="E951" s="82"/>
    </row>
    <row r="952">
      <c r="E952" s="82"/>
    </row>
    <row r="953">
      <c r="E953" s="82"/>
    </row>
    <row r="954">
      <c r="E954" s="82"/>
    </row>
    <row r="955">
      <c r="E955" s="82"/>
    </row>
    <row r="956">
      <c r="E956" s="82"/>
    </row>
    <row r="957">
      <c r="E957" s="82"/>
    </row>
    <row r="958">
      <c r="E958" s="82"/>
    </row>
    <row r="959">
      <c r="E959" s="82"/>
    </row>
    <row r="960">
      <c r="E960" s="82"/>
    </row>
    <row r="961">
      <c r="E961" s="82"/>
    </row>
    <row r="962">
      <c r="E962" s="82"/>
    </row>
    <row r="963">
      <c r="E963" s="82"/>
    </row>
    <row r="964">
      <c r="E964" s="82"/>
    </row>
    <row r="965">
      <c r="E965" s="82"/>
    </row>
    <row r="966">
      <c r="E966" s="82"/>
    </row>
    <row r="967">
      <c r="E967" s="82"/>
    </row>
    <row r="968">
      <c r="E968" s="82"/>
    </row>
    <row r="969">
      <c r="E969" s="82"/>
    </row>
    <row r="970">
      <c r="E970" s="82"/>
    </row>
    <row r="971">
      <c r="E971" s="82"/>
    </row>
    <row r="972">
      <c r="E972" s="82"/>
    </row>
    <row r="973">
      <c r="E973" s="82"/>
    </row>
    <row r="974">
      <c r="E974" s="82"/>
    </row>
    <row r="975">
      <c r="E975" s="82"/>
    </row>
    <row r="976">
      <c r="E976" s="82"/>
    </row>
    <row r="977">
      <c r="E977" s="82"/>
    </row>
    <row r="978">
      <c r="E978" s="82"/>
    </row>
    <row r="979">
      <c r="E979" s="82"/>
    </row>
    <row r="980">
      <c r="E980" s="82"/>
    </row>
    <row r="981">
      <c r="E981" s="82"/>
    </row>
    <row r="982">
      <c r="E982" s="82"/>
    </row>
    <row r="983">
      <c r="E983" s="82"/>
    </row>
    <row r="984">
      <c r="E984" s="82"/>
    </row>
    <row r="985">
      <c r="E985" s="82"/>
    </row>
    <row r="986">
      <c r="E986" s="82"/>
    </row>
    <row r="987">
      <c r="E987" s="82"/>
    </row>
    <row r="988">
      <c r="E988" s="82"/>
    </row>
    <row r="989">
      <c r="E989" s="82"/>
    </row>
    <row r="990">
      <c r="E990" s="82"/>
    </row>
    <row r="991">
      <c r="E991" s="82"/>
    </row>
    <row r="992">
      <c r="E992" s="82"/>
    </row>
    <row r="993">
      <c r="E993" s="82"/>
    </row>
    <row r="994">
      <c r="E994" s="82"/>
    </row>
    <row r="995">
      <c r="E995" s="82"/>
    </row>
    <row r="996">
      <c r="E996" s="82"/>
    </row>
    <row r="997">
      <c r="E997" s="82"/>
    </row>
    <row r="998">
      <c r="E998" s="82"/>
    </row>
    <row r="999">
      <c r="E999" s="82"/>
    </row>
    <row r="1000">
      <c r="E1000" s="82"/>
    </row>
    <row r="1001">
      <c r="E1001" s="82"/>
    </row>
  </sheetData>
  <conditionalFormatting sqref="B3:B99">
    <cfRule type="expression" dxfId="1" priority="1">
      <formula>$D3&gt;$D$1</formula>
    </cfRule>
  </conditionalFormatting>
  <conditionalFormatting sqref="A3:A149">
    <cfRule type="expression" dxfId="0" priority="2">
      <formula>COUNTIF($A$3:A3, A3) &gt; 1</formula>
    </cfRule>
  </conditionalFormatting>
  <conditionalFormatting sqref="A3:A159">
    <cfRule type="expression" dxfId="0" priority="3">
      <formula>COUNTIF(INDIRECT("DB!C:C"), A3)&gt;0
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2.38"/>
    <col customWidth="1" min="5" max="5" width="20.5"/>
  </cols>
  <sheetData>
    <row r="1">
      <c r="A1" s="1" t="s">
        <v>647</v>
      </c>
      <c r="B1" s="80">
        <f>COUNTIF(A3:A1002,"*L4*")</f>
        <v>4</v>
      </c>
      <c r="C1" s="1"/>
      <c r="D1" s="81">
        <f>MAIN!C2</f>
        <v>46154</v>
      </c>
      <c r="E1" s="82"/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4" t="str">
        <f>IFERROR(__xludf.DUMMYFUNCTION("QUERY(Master!A2:B1002, ""SELECT A, B WHERE A STARTS WITH 'L4-003'"", 0)"),"L4-003-063CE")</f>
        <v>L4-003-063CE</v>
      </c>
      <c r="B3" s="4" t="str">
        <f>IFERROR(__xludf.DUMMYFUNCTION("""COMPUTED_VALUE"""),"Barangay 14 Health Center")</f>
        <v>Barangay 14 Health Center</v>
      </c>
      <c r="C3" s="82" t="str">
        <f t="array" ref="C3">XLOOKUP(A3,DB!C:C,DB!K:K)</f>
        <v>Defective modem and AP</v>
      </c>
      <c r="D3" s="25">
        <f t="array" ref="D3">XLOOKUP(A3,DB!C:C,DB!B:B)</f>
        <v>46176</v>
      </c>
      <c r="E3" s="82" t="str">
        <f t="array" ref="E3">XLOOKUP(A3,DB!C:C,DB!F:F,"" )</f>
        <v>14.6485132, 120.9647162</v>
      </c>
    </row>
    <row r="4">
      <c r="A4" s="4" t="str">
        <f>IFERROR(__xludf.DUMMYFUNCTION("""COMPUTED_VALUE"""),"L4-003-007B8")</f>
        <v>L4-003-007B8</v>
      </c>
      <c r="B4" s="4" t="str">
        <f>IFERROR(__xludf.DUMMYFUNCTION("""COMPUTED_VALUE"""),"Bagong Barrio Elementary School")</f>
        <v>Bagong Barrio Elementary School</v>
      </c>
      <c r="C4" s="82" t="str">
        <f t="array" ref="C4">XLOOKUP(A4,DB!C:C,DB!K:K)</f>
        <v>#N/A</v>
      </c>
      <c r="D4" s="4" t="str">
        <f t="array" ref="D4">XLOOKUP(A4,DB!C:C,DB!B:B)</f>
        <v>#N/A</v>
      </c>
      <c r="E4" s="82" t="str">
        <f t="array" ref="E4">XLOOKUP(A4,DB!C:C,DB!F:F,"" )</f>
        <v/>
      </c>
    </row>
    <row r="5">
      <c r="A5" s="4" t="str">
        <f>IFERROR(__xludf.DUMMYFUNCTION("""COMPUTED_VALUE"""),"L4-003-0017F")</f>
        <v>L4-003-0017F</v>
      </c>
      <c r="B5" s="4" t="str">
        <f>IFERROR(__xludf.DUMMYFUNCTION("""COMPUTED_VALUE"""),"Pres. Diosdado Macapagal Memorial Medical Center")</f>
        <v>Pres. Diosdado Macapagal Memorial Medical Center</v>
      </c>
      <c r="C5" s="82" t="str">
        <f t="array" ref="C5">XLOOKUP(A5,DB!C:C,DB!K:K)</f>
        <v>Defective commbox breaker</v>
      </c>
      <c r="D5" s="73">
        <f t="array" ref="D5">XLOOKUP(A5,DB!C:C,DB!B:B)</f>
        <v>46163</v>
      </c>
      <c r="E5" s="82" t="str">
        <f t="array" ref="E5">XLOOKUP(A5,DB!C:C,DB!F:F,"" )</f>
        <v>14.647097, 120.972037</v>
      </c>
    </row>
    <row r="6">
      <c r="A6" s="4" t="str">
        <f>IFERROR(__xludf.DUMMYFUNCTION("""COMPUTED_VALUE"""),"L4-003-05893")</f>
        <v>L4-003-05893</v>
      </c>
      <c r="B6" s="4" t="str">
        <f>IFERROR(__xludf.DUMMYFUNCTION("""COMPUTED_VALUE"""),"University of Caloocan City - Camarin Business Campus")</f>
        <v>University of Caloocan City - Camarin Business Campus</v>
      </c>
      <c r="C6" s="82" t="str">
        <f t="array" ref="C6">XLOOKUP(A6,DB!C:C,DB!K:K)</f>
        <v>Reset modem</v>
      </c>
      <c r="D6" s="25">
        <f t="array" ref="D6">XLOOKUP(A6,DB!C:C,DB!B:B)</f>
        <v>46182</v>
      </c>
      <c r="E6" s="82" t="str">
        <f t="array" ref="E6">XLOOKUP(A6,DB!C:C,DB!F:F,"" )</f>
        <v>14.761965, 121.050172</v>
      </c>
    </row>
    <row r="7">
      <c r="A7" s="4"/>
      <c r="C7" s="82" t="str">
        <f t="array" ref="C7">XLOOKUP(A7,DB!C:C,DB!K:K)</f>
        <v>#N/A</v>
      </c>
      <c r="D7" s="4" t="str">
        <f t="array" ref="D7">XLOOKUP(A7,DB!C:C,DB!B:B)</f>
        <v>#N/A</v>
      </c>
      <c r="E7" s="82" t="str">
        <f t="array" ref="E7">XLOOKUP(A7,DB!C:C,DB!F:F,"" )</f>
        <v/>
      </c>
    </row>
    <row r="8">
      <c r="A8" s="4"/>
      <c r="C8" s="82" t="str">
        <f t="array" ref="C8">XLOOKUP(A8,DB!C:C,DB!K:K)</f>
        <v>#N/A</v>
      </c>
      <c r="D8" s="4" t="str">
        <f t="array" ref="D8">XLOOKUP(A8,DB!C:C,DB!B:B)</f>
        <v>#N/A</v>
      </c>
      <c r="E8" s="82" t="str">
        <f t="array" ref="E8">XLOOKUP(A8,DB!C:C,DB!F:F,"" )</f>
        <v/>
      </c>
    </row>
    <row r="9">
      <c r="A9" s="4"/>
      <c r="C9" s="82" t="str">
        <f t="array" ref="C9">XLOOKUP(A9,DB!C:C,DB!K:K)</f>
        <v>#N/A</v>
      </c>
      <c r="D9" s="4" t="str">
        <f t="array" ref="D9">XLOOKUP(A9,DB!C:C,DB!B:B)</f>
        <v>#N/A</v>
      </c>
      <c r="E9" s="82" t="str">
        <f t="array" ref="E9">XLOOKUP(A9,DB!C:C,DB!F:F,"" )</f>
        <v/>
      </c>
    </row>
    <row r="10">
      <c r="A10" s="4"/>
      <c r="C10" s="82" t="str">
        <f t="array" ref="C10">XLOOKUP(A10,DB!C:C,DB!K:K)</f>
        <v>#N/A</v>
      </c>
      <c r="D10" s="4" t="str">
        <f t="array" ref="D10">XLOOKUP(A10,DB!C:C,DB!B:B)</f>
        <v>#N/A</v>
      </c>
      <c r="E10" s="82" t="str">
        <f t="array" ref="E10">XLOOKUP(A10,DB!C:C,DB!F:F,"" )</f>
        <v/>
      </c>
    </row>
    <row r="11">
      <c r="A11" s="4"/>
      <c r="C11" s="82" t="str">
        <f t="array" ref="C11">XLOOKUP(A11,DB!C:C,DB!K:K)</f>
        <v>#N/A</v>
      </c>
      <c r="D11" s="4" t="str">
        <f t="array" ref="D11">XLOOKUP(A11,DB!C:C,DB!B:B)</f>
        <v>#N/A</v>
      </c>
      <c r="E11" s="82"/>
    </row>
    <row r="12">
      <c r="A12" s="4"/>
      <c r="C12" s="82" t="str">
        <f t="array" ref="C12">XLOOKUP(A12,DB!C:C,DB!K:K)</f>
        <v>#N/A</v>
      </c>
      <c r="D12" s="4" t="str">
        <f t="array" ref="D12">XLOOKUP(A12,DB!C:C,DB!B:B)</f>
        <v>#N/A</v>
      </c>
      <c r="E12" s="82"/>
    </row>
    <row r="13">
      <c r="A13" s="4"/>
      <c r="C13" s="82" t="str">
        <f t="array" ref="C13">XLOOKUP(A13,DB!C:C,DB!K:K)</f>
        <v>#N/A</v>
      </c>
      <c r="D13" s="4" t="str">
        <f t="array" ref="D13">XLOOKUP(A13,DB!C:C,DB!B:B)</f>
        <v>#N/A</v>
      </c>
      <c r="E13" s="82"/>
    </row>
    <row r="14">
      <c r="A14" s="4"/>
      <c r="C14" s="82" t="str">
        <f t="array" ref="C14">XLOOKUP(A14,DB!C:C,DB!K:K)</f>
        <v>#N/A</v>
      </c>
      <c r="D14" s="4" t="str">
        <f t="array" ref="D14">XLOOKUP(A14,DB!C:C,DB!B:B)</f>
        <v>#N/A</v>
      </c>
      <c r="E14" s="82"/>
    </row>
    <row r="15">
      <c r="A15" s="4"/>
      <c r="C15" s="82"/>
      <c r="E15" s="82"/>
    </row>
    <row r="16">
      <c r="A16" s="4"/>
      <c r="C16" s="82"/>
      <c r="E16" s="82"/>
    </row>
    <row r="17">
      <c r="A17" s="4"/>
      <c r="C17" s="82"/>
      <c r="E17" s="82"/>
    </row>
    <row r="18">
      <c r="A18" s="4"/>
      <c r="C18" s="82"/>
      <c r="E18" s="82"/>
    </row>
    <row r="19">
      <c r="A19" s="4"/>
      <c r="C19" s="82"/>
      <c r="E19" s="82"/>
    </row>
    <row r="20">
      <c r="A20" s="4"/>
      <c r="C20" s="82"/>
      <c r="E20" s="82"/>
    </row>
    <row r="21">
      <c r="A21" s="4"/>
      <c r="C21" s="82"/>
      <c r="E21" s="82"/>
    </row>
    <row r="22">
      <c r="A22" s="4"/>
      <c r="C22" s="82"/>
      <c r="E22" s="82"/>
    </row>
    <row r="23">
      <c r="A23" s="4"/>
      <c r="C23" s="82"/>
      <c r="E23" s="82"/>
    </row>
    <row r="24">
      <c r="A24" s="4"/>
      <c r="C24" s="82"/>
      <c r="E24" s="82"/>
    </row>
    <row r="25">
      <c r="A25" s="4"/>
      <c r="C25" s="82"/>
      <c r="E25" s="82"/>
    </row>
    <row r="26">
      <c r="A26" s="4"/>
      <c r="C26" s="82"/>
      <c r="E26" s="82"/>
    </row>
    <row r="27">
      <c r="A27" s="4"/>
      <c r="C27" s="82"/>
      <c r="E27" s="82"/>
    </row>
    <row r="28">
      <c r="A28" s="4"/>
      <c r="C28" s="82"/>
      <c r="E28" s="82"/>
    </row>
    <row r="29">
      <c r="A29" s="4"/>
      <c r="C29" s="82"/>
      <c r="E29" s="82"/>
    </row>
    <row r="30">
      <c r="A30" s="4"/>
      <c r="C30" s="82"/>
      <c r="E30" s="82"/>
    </row>
    <row r="31">
      <c r="A31" s="4"/>
      <c r="C31" s="82"/>
      <c r="E31" s="82"/>
    </row>
    <row r="32">
      <c r="A32" s="4"/>
      <c r="C32" s="82"/>
      <c r="E32" s="82"/>
    </row>
    <row r="33">
      <c r="A33" s="4"/>
      <c r="C33" s="82"/>
      <c r="E33" s="82"/>
    </row>
    <row r="34">
      <c r="A34" s="4"/>
      <c r="C34" s="82"/>
      <c r="E34" s="82"/>
    </row>
    <row r="35">
      <c r="A35" s="4"/>
      <c r="C35" s="82"/>
      <c r="E35" s="82"/>
    </row>
    <row r="36">
      <c r="A36" s="4"/>
      <c r="C36" s="82"/>
      <c r="E36" s="82"/>
    </row>
    <row r="37">
      <c r="A37" s="4"/>
      <c r="C37" s="82"/>
      <c r="E37" s="82"/>
    </row>
    <row r="38">
      <c r="A38" s="4"/>
      <c r="C38" s="82"/>
      <c r="E38" s="82"/>
    </row>
    <row r="39">
      <c r="A39" s="4"/>
      <c r="C39" s="82"/>
      <c r="E39" s="82"/>
    </row>
    <row r="40">
      <c r="A40" s="4"/>
      <c r="C40" s="82"/>
      <c r="E40" s="82"/>
    </row>
    <row r="41">
      <c r="A41" s="4"/>
      <c r="C41" s="82"/>
      <c r="E41" s="82"/>
    </row>
    <row r="42">
      <c r="A42" s="4"/>
      <c r="C42" s="82"/>
      <c r="E42" s="82"/>
    </row>
    <row r="43">
      <c r="A43" s="4"/>
      <c r="C43" s="82"/>
      <c r="E43" s="82"/>
    </row>
    <row r="44">
      <c r="A44" s="4"/>
      <c r="C44" s="82"/>
      <c r="E44" s="82"/>
    </row>
    <row r="45">
      <c r="A45" s="4"/>
      <c r="C45" s="82"/>
      <c r="E45" s="82"/>
    </row>
    <row r="46">
      <c r="A46" s="4"/>
      <c r="C46" s="82"/>
      <c r="E46" s="82"/>
    </row>
    <row r="47">
      <c r="A47" s="4"/>
      <c r="C47" s="82"/>
      <c r="E47" s="82"/>
    </row>
    <row r="48">
      <c r="A48" s="4"/>
      <c r="C48" s="82"/>
      <c r="E48" s="82"/>
    </row>
    <row r="49">
      <c r="A49" s="4"/>
      <c r="C49" s="82"/>
      <c r="E49" s="82"/>
    </row>
    <row r="50">
      <c r="A50" s="4"/>
      <c r="C50" s="82"/>
      <c r="E50" s="82"/>
    </row>
    <row r="51">
      <c r="A51" s="4"/>
      <c r="C51" s="82"/>
      <c r="E51" s="82"/>
    </row>
    <row r="52">
      <c r="A52" s="4"/>
      <c r="C52" s="82"/>
      <c r="E52" s="82"/>
    </row>
    <row r="53">
      <c r="A53" s="4"/>
      <c r="C53" s="82"/>
      <c r="E53" s="82"/>
    </row>
    <row r="54">
      <c r="A54" s="4"/>
      <c r="C54" s="82"/>
      <c r="E54" s="82"/>
    </row>
    <row r="55">
      <c r="A55" s="4"/>
      <c r="C55" s="82"/>
      <c r="E55" s="82"/>
    </row>
    <row r="56">
      <c r="A56" s="4"/>
      <c r="C56" s="82"/>
      <c r="E56" s="82"/>
    </row>
    <row r="57">
      <c r="A57" s="4"/>
      <c r="C57" s="82"/>
      <c r="E57" s="82"/>
    </row>
    <row r="58">
      <c r="A58" s="4"/>
      <c r="C58" s="82"/>
      <c r="E58" s="82"/>
    </row>
    <row r="59">
      <c r="A59" s="4"/>
      <c r="C59" s="82"/>
      <c r="E59" s="82"/>
    </row>
    <row r="60">
      <c r="A60" s="4"/>
      <c r="C60" s="82"/>
      <c r="E60" s="82"/>
    </row>
    <row r="61">
      <c r="A61" s="4"/>
      <c r="C61" s="82"/>
      <c r="E61" s="82"/>
    </row>
    <row r="62">
      <c r="A62" s="4"/>
      <c r="C62" s="82"/>
      <c r="E62" s="82"/>
    </row>
    <row r="63">
      <c r="A63" s="4"/>
      <c r="C63" s="82"/>
      <c r="E63" s="82"/>
    </row>
    <row r="64">
      <c r="A64" s="4"/>
      <c r="C64" s="82"/>
      <c r="E64" s="82"/>
    </row>
    <row r="65">
      <c r="A65" s="4"/>
      <c r="C65" s="82"/>
      <c r="E65" s="82"/>
    </row>
    <row r="66">
      <c r="A66" s="4"/>
      <c r="C66" s="82"/>
      <c r="E66" s="82"/>
    </row>
    <row r="67">
      <c r="A67" s="4"/>
      <c r="C67" s="82"/>
      <c r="E67" s="82"/>
    </row>
    <row r="68">
      <c r="A68" s="4"/>
      <c r="C68" s="82"/>
      <c r="E68" s="82"/>
    </row>
    <row r="69">
      <c r="A69" s="4"/>
      <c r="C69" s="82"/>
      <c r="E69" s="82"/>
    </row>
    <row r="70">
      <c r="A70" s="4"/>
      <c r="C70" s="82"/>
      <c r="E70" s="82"/>
    </row>
    <row r="71">
      <c r="A71" s="4"/>
      <c r="C71" s="82"/>
      <c r="E71" s="82"/>
    </row>
    <row r="72">
      <c r="A72" s="4"/>
      <c r="C72" s="82"/>
      <c r="E72" s="82"/>
    </row>
    <row r="73">
      <c r="A73" s="4"/>
      <c r="C73" s="82"/>
      <c r="E73" s="82"/>
    </row>
    <row r="74">
      <c r="A74" s="4"/>
      <c r="C74" s="82"/>
      <c r="E74" s="82"/>
    </row>
    <row r="75">
      <c r="A75" s="4"/>
      <c r="C75" s="82"/>
      <c r="E75" s="82"/>
    </row>
    <row r="76">
      <c r="A76" s="4"/>
      <c r="C76" s="82"/>
      <c r="E76" s="82"/>
    </row>
    <row r="77">
      <c r="A77" s="4"/>
      <c r="C77" s="82"/>
      <c r="E77" s="82"/>
    </row>
    <row r="78">
      <c r="A78" s="4"/>
      <c r="C78" s="82"/>
      <c r="E78" s="82"/>
    </row>
    <row r="79">
      <c r="A79" s="4"/>
      <c r="C79" s="82"/>
      <c r="E79" s="82"/>
    </row>
    <row r="80">
      <c r="A80" s="4"/>
      <c r="C80" s="82"/>
      <c r="E80" s="82"/>
    </row>
    <row r="81">
      <c r="A81" s="4"/>
      <c r="C81" s="82"/>
      <c r="E81" s="82"/>
    </row>
    <row r="82">
      <c r="A82" s="4"/>
      <c r="C82" s="82"/>
      <c r="E82" s="82"/>
    </row>
    <row r="83">
      <c r="A83" s="4"/>
      <c r="C83" s="82"/>
      <c r="E83" s="82"/>
    </row>
    <row r="84">
      <c r="A84" s="4"/>
      <c r="C84" s="82"/>
      <c r="E84" s="82"/>
    </row>
    <row r="85">
      <c r="A85" s="4"/>
      <c r="C85" s="82"/>
      <c r="E85" s="82"/>
    </row>
    <row r="86">
      <c r="A86" s="4"/>
      <c r="C86" s="82"/>
      <c r="E86" s="82"/>
    </row>
    <row r="87">
      <c r="A87" s="4"/>
      <c r="C87" s="82"/>
      <c r="E87" s="82"/>
    </row>
    <row r="88">
      <c r="A88" s="4"/>
      <c r="C88" s="82"/>
      <c r="E88" s="82"/>
    </row>
    <row r="89">
      <c r="A89" s="4"/>
      <c r="C89" s="82"/>
      <c r="E89" s="82"/>
    </row>
    <row r="90">
      <c r="A90" s="4"/>
      <c r="C90" s="82"/>
      <c r="E90" s="82"/>
    </row>
    <row r="91">
      <c r="A91" s="4"/>
      <c r="C91" s="82"/>
      <c r="E91" s="82"/>
    </row>
    <row r="92">
      <c r="A92" s="4"/>
      <c r="C92" s="82"/>
      <c r="E92" s="82"/>
    </row>
    <row r="93">
      <c r="A93" s="4"/>
      <c r="C93" s="82"/>
      <c r="E93" s="82"/>
    </row>
    <row r="94">
      <c r="A94" s="4"/>
      <c r="C94" s="82"/>
      <c r="E94" s="82"/>
    </row>
    <row r="95">
      <c r="A95" s="4"/>
      <c r="C95" s="82"/>
      <c r="E95" s="82"/>
    </row>
    <row r="96">
      <c r="A96" s="4"/>
      <c r="C96" s="82"/>
      <c r="E96" s="82"/>
    </row>
    <row r="97">
      <c r="A97" s="4"/>
      <c r="C97" s="82"/>
      <c r="E97" s="82"/>
    </row>
    <row r="98">
      <c r="A98" s="4"/>
      <c r="C98" s="82"/>
      <c r="E98" s="82"/>
    </row>
    <row r="99">
      <c r="A99" s="4"/>
      <c r="C99" s="82"/>
      <c r="E99" s="82"/>
    </row>
    <row r="100">
      <c r="A100" s="4"/>
      <c r="C100" s="82"/>
      <c r="E100" s="82"/>
    </row>
    <row r="101">
      <c r="C101" s="82"/>
      <c r="E101" s="82"/>
    </row>
    <row r="102">
      <c r="C102" s="82"/>
      <c r="E102" s="82"/>
    </row>
    <row r="103">
      <c r="C103" s="82"/>
      <c r="E103" s="82"/>
    </row>
    <row r="104">
      <c r="C104" s="82"/>
      <c r="E104" s="82"/>
    </row>
    <row r="105">
      <c r="C105" s="82"/>
      <c r="E105" s="82"/>
    </row>
    <row r="106">
      <c r="C106" s="82"/>
      <c r="E106" s="82"/>
    </row>
    <row r="107">
      <c r="C107" s="82"/>
      <c r="E107" s="82"/>
    </row>
    <row r="108">
      <c r="C108" s="82"/>
      <c r="E108" s="82"/>
    </row>
    <row r="109">
      <c r="C109" s="82"/>
      <c r="E109" s="82"/>
    </row>
    <row r="110">
      <c r="C110" s="82"/>
      <c r="E110" s="82"/>
    </row>
    <row r="111">
      <c r="C111" s="82"/>
      <c r="E111" s="82"/>
    </row>
    <row r="112">
      <c r="C112" s="82"/>
      <c r="E112" s="82"/>
    </row>
    <row r="113">
      <c r="C113" s="82"/>
      <c r="E113" s="82"/>
    </row>
    <row r="114">
      <c r="C114" s="82"/>
      <c r="E114" s="82"/>
    </row>
    <row r="115">
      <c r="C115" s="82"/>
      <c r="E115" s="82"/>
    </row>
    <row r="116">
      <c r="C116" s="82"/>
      <c r="E116" s="82"/>
    </row>
    <row r="117">
      <c r="C117" s="82"/>
      <c r="E117" s="82"/>
    </row>
    <row r="118">
      <c r="C118" s="82"/>
      <c r="E118" s="82"/>
    </row>
    <row r="119">
      <c r="C119" s="82"/>
      <c r="E119" s="82"/>
    </row>
    <row r="120">
      <c r="C120" s="82"/>
      <c r="E120" s="82"/>
    </row>
    <row r="121">
      <c r="C121" s="82"/>
      <c r="E121" s="82"/>
    </row>
    <row r="122">
      <c r="C122" s="82"/>
      <c r="E122" s="82"/>
    </row>
    <row r="123">
      <c r="C123" s="82"/>
      <c r="E123" s="82"/>
    </row>
    <row r="124">
      <c r="C124" s="82"/>
      <c r="E124" s="82"/>
    </row>
    <row r="125">
      <c r="C125" s="82"/>
      <c r="E125" s="82"/>
    </row>
    <row r="126">
      <c r="C126" s="82"/>
      <c r="E126" s="82"/>
    </row>
    <row r="127">
      <c r="C127" s="82"/>
      <c r="E127" s="82"/>
    </row>
    <row r="128">
      <c r="C128" s="82"/>
      <c r="E128" s="82"/>
    </row>
    <row r="129">
      <c r="C129" s="82"/>
      <c r="E129" s="82"/>
    </row>
    <row r="130">
      <c r="C130" s="82"/>
      <c r="E130" s="82"/>
    </row>
    <row r="131">
      <c r="C131" s="82"/>
      <c r="E131" s="82"/>
    </row>
    <row r="132">
      <c r="C132" s="82"/>
      <c r="E132" s="82"/>
    </row>
    <row r="133">
      <c r="C133" s="82"/>
      <c r="E133" s="82"/>
    </row>
    <row r="134">
      <c r="C134" s="82"/>
      <c r="E134" s="82"/>
    </row>
    <row r="135">
      <c r="C135" s="82"/>
      <c r="E135" s="82"/>
    </row>
    <row r="136">
      <c r="C136" s="82"/>
      <c r="E136" s="82"/>
    </row>
    <row r="137">
      <c r="C137" s="82"/>
      <c r="E137" s="82"/>
    </row>
    <row r="138">
      <c r="C138" s="82"/>
      <c r="E138" s="82"/>
    </row>
    <row r="139">
      <c r="C139" s="82"/>
      <c r="E139" s="82"/>
    </row>
    <row r="140">
      <c r="C140" s="82"/>
      <c r="E140" s="82"/>
    </row>
    <row r="141">
      <c r="C141" s="82"/>
      <c r="E141" s="82"/>
    </row>
    <row r="142">
      <c r="C142" s="82"/>
      <c r="E142" s="82"/>
    </row>
    <row r="143">
      <c r="C143" s="82"/>
      <c r="E143" s="82"/>
    </row>
    <row r="144">
      <c r="C144" s="82"/>
      <c r="E144" s="82"/>
    </row>
    <row r="145">
      <c r="C145" s="82"/>
      <c r="E145" s="82"/>
    </row>
    <row r="146">
      <c r="C146" s="82"/>
      <c r="E146" s="82"/>
    </row>
    <row r="147">
      <c r="C147" s="82"/>
      <c r="E147" s="82"/>
    </row>
    <row r="148">
      <c r="C148" s="82"/>
      <c r="E148" s="82"/>
    </row>
    <row r="149">
      <c r="C149" s="82"/>
      <c r="E149" s="82"/>
    </row>
    <row r="150">
      <c r="C150" s="82"/>
      <c r="E150" s="82"/>
    </row>
    <row r="151">
      <c r="C151" s="82"/>
      <c r="E151" s="82"/>
    </row>
    <row r="152">
      <c r="C152" s="82"/>
      <c r="E152" s="82"/>
    </row>
    <row r="153">
      <c r="C153" s="82"/>
      <c r="E153" s="82"/>
    </row>
    <row r="154">
      <c r="C154" s="82"/>
      <c r="E154" s="82"/>
    </row>
    <row r="155">
      <c r="C155" s="82"/>
      <c r="E155" s="82"/>
    </row>
    <row r="156">
      <c r="C156" s="82"/>
      <c r="E156" s="82"/>
    </row>
    <row r="157">
      <c r="C157" s="82"/>
      <c r="E157" s="82"/>
    </row>
    <row r="158">
      <c r="C158" s="82"/>
      <c r="E158" s="82"/>
    </row>
    <row r="159">
      <c r="C159" s="82"/>
      <c r="E159" s="82"/>
    </row>
    <row r="160">
      <c r="C160" s="82"/>
      <c r="E160" s="82"/>
    </row>
    <row r="161">
      <c r="C161" s="82"/>
      <c r="E161" s="82"/>
    </row>
    <row r="162">
      <c r="C162" s="82"/>
      <c r="E162" s="82"/>
    </row>
    <row r="163">
      <c r="C163" s="82"/>
      <c r="E163" s="82"/>
    </row>
    <row r="164">
      <c r="C164" s="82"/>
      <c r="E164" s="82"/>
    </row>
    <row r="165">
      <c r="C165" s="82"/>
      <c r="E165" s="82"/>
    </row>
    <row r="166">
      <c r="C166" s="82"/>
      <c r="E166" s="82"/>
    </row>
    <row r="167">
      <c r="C167" s="82"/>
      <c r="E167" s="82"/>
    </row>
    <row r="168">
      <c r="C168" s="82"/>
      <c r="E168" s="82"/>
    </row>
    <row r="169">
      <c r="C169" s="82"/>
      <c r="E169" s="82"/>
    </row>
    <row r="170">
      <c r="C170" s="82"/>
      <c r="E170" s="82"/>
    </row>
    <row r="171">
      <c r="C171" s="82"/>
      <c r="E171" s="82"/>
    </row>
    <row r="172">
      <c r="C172" s="82"/>
      <c r="E172" s="82"/>
    </row>
    <row r="173">
      <c r="C173" s="82"/>
      <c r="E173" s="82"/>
    </row>
    <row r="174">
      <c r="C174" s="82"/>
      <c r="E174" s="82"/>
    </row>
    <row r="175">
      <c r="C175" s="82"/>
      <c r="E175" s="82"/>
    </row>
    <row r="176">
      <c r="C176" s="82"/>
      <c r="E176" s="82"/>
    </row>
    <row r="177">
      <c r="C177" s="82"/>
      <c r="E177" s="82"/>
    </row>
    <row r="178">
      <c r="C178" s="82"/>
      <c r="E178" s="82"/>
    </row>
    <row r="179">
      <c r="C179" s="82"/>
      <c r="E179" s="82"/>
    </row>
    <row r="180">
      <c r="C180" s="82"/>
      <c r="E180" s="82"/>
    </row>
    <row r="181">
      <c r="C181" s="82"/>
      <c r="E181" s="82"/>
    </row>
    <row r="182">
      <c r="C182" s="82"/>
      <c r="E182" s="82"/>
    </row>
    <row r="183">
      <c r="C183" s="82"/>
      <c r="E183" s="82"/>
    </row>
    <row r="184">
      <c r="C184" s="82"/>
      <c r="E184" s="82"/>
    </row>
    <row r="185">
      <c r="C185" s="82"/>
      <c r="E185" s="82"/>
    </row>
    <row r="186">
      <c r="C186" s="82"/>
      <c r="E186" s="82"/>
    </row>
    <row r="187">
      <c r="C187" s="82"/>
      <c r="E187" s="82"/>
    </row>
    <row r="188">
      <c r="C188" s="82"/>
      <c r="E188" s="82"/>
    </row>
    <row r="189">
      <c r="C189" s="82"/>
      <c r="E189" s="82"/>
    </row>
    <row r="190">
      <c r="C190" s="82"/>
      <c r="E190" s="82"/>
    </row>
    <row r="191">
      <c r="C191" s="82"/>
      <c r="E191" s="82"/>
    </row>
    <row r="192">
      <c r="C192" s="82"/>
      <c r="E192" s="82"/>
    </row>
    <row r="193">
      <c r="C193" s="82"/>
      <c r="E193" s="82"/>
    </row>
    <row r="194">
      <c r="C194" s="82"/>
      <c r="E194" s="82"/>
    </row>
    <row r="195">
      <c r="C195" s="82"/>
      <c r="E195" s="82"/>
    </row>
    <row r="196">
      <c r="C196" s="82"/>
      <c r="E196" s="82"/>
    </row>
    <row r="197">
      <c r="C197" s="82"/>
      <c r="E197" s="82"/>
    </row>
    <row r="198">
      <c r="C198" s="82"/>
      <c r="E198" s="82"/>
    </row>
    <row r="199">
      <c r="C199" s="82"/>
      <c r="E199" s="82"/>
    </row>
    <row r="200">
      <c r="C200" s="82"/>
      <c r="E200" s="82"/>
    </row>
    <row r="201">
      <c r="C201" s="82"/>
      <c r="E201" s="82"/>
    </row>
    <row r="202">
      <c r="C202" s="82"/>
      <c r="E202" s="82"/>
    </row>
    <row r="203">
      <c r="C203" s="82"/>
      <c r="E203" s="82"/>
    </row>
    <row r="204">
      <c r="C204" s="82"/>
      <c r="E204" s="82"/>
    </row>
    <row r="205">
      <c r="C205" s="82"/>
      <c r="E205" s="82"/>
    </row>
    <row r="206">
      <c r="C206" s="82"/>
      <c r="E206" s="82"/>
    </row>
    <row r="207">
      <c r="C207" s="82"/>
      <c r="E207" s="82"/>
    </row>
    <row r="208">
      <c r="C208" s="82"/>
      <c r="E208" s="82"/>
    </row>
    <row r="209">
      <c r="C209" s="82"/>
      <c r="E209" s="82"/>
    </row>
    <row r="210">
      <c r="C210" s="82"/>
      <c r="E210" s="82"/>
    </row>
    <row r="211">
      <c r="C211" s="82"/>
      <c r="E211" s="82"/>
    </row>
    <row r="212">
      <c r="C212" s="82"/>
      <c r="E212" s="82"/>
    </row>
    <row r="213">
      <c r="C213" s="82"/>
      <c r="E213" s="82"/>
    </row>
    <row r="214">
      <c r="C214" s="82"/>
      <c r="E214" s="82"/>
    </row>
    <row r="215">
      <c r="C215" s="82"/>
      <c r="E215" s="82"/>
    </row>
    <row r="216">
      <c r="C216" s="82"/>
      <c r="E216" s="82"/>
    </row>
    <row r="217">
      <c r="C217" s="82"/>
      <c r="E217" s="82"/>
    </row>
    <row r="218">
      <c r="C218" s="82"/>
      <c r="E218" s="82"/>
    </row>
    <row r="219">
      <c r="C219" s="82"/>
      <c r="E219" s="82"/>
    </row>
    <row r="220">
      <c r="C220" s="82"/>
      <c r="E220" s="82"/>
    </row>
    <row r="221">
      <c r="C221" s="82"/>
      <c r="E221" s="82"/>
    </row>
    <row r="222">
      <c r="C222" s="82"/>
      <c r="E222" s="82"/>
    </row>
    <row r="223">
      <c r="C223" s="82"/>
      <c r="E223" s="82"/>
    </row>
    <row r="224">
      <c r="C224" s="82"/>
      <c r="E224" s="82"/>
    </row>
    <row r="225">
      <c r="C225" s="82"/>
      <c r="E225" s="82"/>
    </row>
    <row r="226">
      <c r="C226" s="82"/>
      <c r="E226" s="82"/>
    </row>
    <row r="227">
      <c r="C227" s="82"/>
      <c r="E227" s="82"/>
    </row>
    <row r="228">
      <c r="C228" s="82"/>
      <c r="E228" s="82"/>
    </row>
    <row r="229">
      <c r="C229" s="82"/>
      <c r="E229" s="82"/>
    </row>
    <row r="230">
      <c r="C230" s="82"/>
      <c r="E230" s="82"/>
    </row>
    <row r="231">
      <c r="C231" s="82"/>
      <c r="E231" s="82"/>
    </row>
    <row r="232">
      <c r="C232" s="82"/>
      <c r="E232" s="82"/>
    </row>
    <row r="233">
      <c r="C233" s="82"/>
      <c r="E233" s="82"/>
    </row>
    <row r="234">
      <c r="C234" s="82"/>
      <c r="E234" s="82"/>
    </row>
    <row r="235">
      <c r="C235" s="82"/>
      <c r="E235" s="82"/>
    </row>
    <row r="236">
      <c r="C236" s="82"/>
      <c r="E236" s="82"/>
    </row>
    <row r="237">
      <c r="C237" s="82"/>
      <c r="E237" s="82"/>
    </row>
    <row r="238">
      <c r="C238" s="82"/>
      <c r="E238" s="82"/>
    </row>
    <row r="239">
      <c r="C239" s="82"/>
      <c r="E239" s="82"/>
    </row>
    <row r="240">
      <c r="C240" s="82"/>
      <c r="E240" s="82"/>
    </row>
    <row r="241">
      <c r="C241" s="82"/>
      <c r="E241" s="82"/>
    </row>
    <row r="242">
      <c r="C242" s="82"/>
      <c r="E242" s="82"/>
    </row>
    <row r="243">
      <c r="C243" s="82"/>
      <c r="E243" s="82"/>
    </row>
    <row r="244">
      <c r="C244" s="82"/>
      <c r="E244" s="82"/>
    </row>
    <row r="245">
      <c r="C245" s="82"/>
      <c r="E245" s="82"/>
    </row>
    <row r="246">
      <c r="C246" s="82"/>
      <c r="E246" s="82"/>
    </row>
    <row r="247">
      <c r="C247" s="82"/>
      <c r="E247" s="82"/>
    </row>
    <row r="248">
      <c r="C248" s="82"/>
      <c r="E248" s="82"/>
    </row>
    <row r="249">
      <c r="C249" s="82"/>
      <c r="E249" s="82"/>
    </row>
    <row r="250">
      <c r="C250" s="82"/>
      <c r="E250" s="82"/>
    </row>
    <row r="251">
      <c r="C251" s="82"/>
      <c r="E251" s="82"/>
    </row>
    <row r="252">
      <c r="C252" s="82"/>
      <c r="E252" s="82"/>
    </row>
    <row r="253">
      <c r="C253" s="82"/>
      <c r="E253" s="82"/>
    </row>
    <row r="254">
      <c r="C254" s="82"/>
      <c r="E254" s="82"/>
    </row>
    <row r="255">
      <c r="C255" s="82"/>
      <c r="E255" s="82"/>
    </row>
    <row r="256">
      <c r="C256" s="82"/>
      <c r="E256" s="82"/>
    </row>
    <row r="257">
      <c r="C257" s="82"/>
      <c r="E257" s="82"/>
    </row>
    <row r="258">
      <c r="C258" s="82"/>
      <c r="E258" s="82"/>
    </row>
    <row r="259">
      <c r="C259" s="82"/>
      <c r="E259" s="82"/>
    </row>
    <row r="260">
      <c r="C260" s="82"/>
      <c r="E260" s="82"/>
    </row>
    <row r="261">
      <c r="C261" s="82"/>
      <c r="E261" s="82"/>
    </row>
    <row r="262">
      <c r="C262" s="82"/>
      <c r="E262" s="82"/>
    </row>
    <row r="263">
      <c r="C263" s="82"/>
      <c r="E263" s="82"/>
    </row>
    <row r="264">
      <c r="C264" s="82"/>
      <c r="E264" s="82"/>
    </row>
    <row r="265">
      <c r="C265" s="82"/>
      <c r="E265" s="82"/>
    </row>
    <row r="266">
      <c r="C266" s="82"/>
      <c r="E266" s="82"/>
    </row>
    <row r="267">
      <c r="C267" s="82"/>
      <c r="E267" s="82"/>
    </row>
    <row r="268">
      <c r="C268" s="82"/>
      <c r="E268" s="82"/>
    </row>
    <row r="269">
      <c r="C269" s="82"/>
      <c r="E269" s="82"/>
    </row>
    <row r="270">
      <c r="C270" s="82"/>
      <c r="E270" s="82"/>
    </row>
    <row r="271">
      <c r="C271" s="82"/>
      <c r="E271" s="82"/>
    </row>
    <row r="272">
      <c r="C272" s="82"/>
      <c r="E272" s="82"/>
    </row>
    <row r="273">
      <c r="C273" s="82"/>
      <c r="E273" s="82"/>
    </row>
    <row r="274">
      <c r="C274" s="82"/>
      <c r="E274" s="82"/>
    </row>
    <row r="275">
      <c r="C275" s="82"/>
      <c r="E275" s="82"/>
    </row>
    <row r="276">
      <c r="C276" s="82"/>
      <c r="E276" s="82"/>
    </row>
    <row r="277">
      <c r="C277" s="82"/>
      <c r="E277" s="82"/>
    </row>
    <row r="278">
      <c r="C278" s="82"/>
      <c r="E278" s="82"/>
    </row>
    <row r="279">
      <c r="C279" s="82"/>
      <c r="E279" s="82"/>
    </row>
    <row r="280">
      <c r="C280" s="82"/>
      <c r="E280" s="82"/>
    </row>
    <row r="281">
      <c r="C281" s="82"/>
      <c r="E281" s="82"/>
    </row>
    <row r="282">
      <c r="C282" s="82"/>
      <c r="E282" s="82"/>
    </row>
    <row r="283">
      <c r="C283" s="82"/>
      <c r="E283" s="82"/>
    </row>
    <row r="284">
      <c r="C284" s="82"/>
      <c r="E284" s="82"/>
    </row>
    <row r="285">
      <c r="C285" s="82"/>
      <c r="E285" s="82"/>
    </row>
    <row r="286">
      <c r="C286" s="82"/>
      <c r="E286" s="82"/>
    </row>
    <row r="287">
      <c r="C287" s="82"/>
      <c r="E287" s="82"/>
    </row>
    <row r="288">
      <c r="C288" s="82"/>
      <c r="E288" s="82"/>
    </row>
    <row r="289">
      <c r="C289" s="82"/>
      <c r="E289" s="82"/>
    </row>
    <row r="290">
      <c r="C290" s="82"/>
      <c r="E290" s="82"/>
    </row>
    <row r="291">
      <c r="C291" s="82"/>
      <c r="E291" s="82"/>
    </row>
    <row r="292">
      <c r="C292" s="82"/>
      <c r="E292" s="82"/>
    </row>
    <row r="293">
      <c r="C293" s="82"/>
      <c r="E293" s="82"/>
    </row>
    <row r="294">
      <c r="C294" s="82"/>
      <c r="E294" s="82"/>
    </row>
    <row r="295">
      <c r="C295" s="82"/>
      <c r="E295" s="82"/>
    </row>
    <row r="296">
      <c r="C296" s="82"/>
      <c r="E296" s="82"/>
    </row>
    <row r="297">
      <c r="C297" s="82"/>
      <c r="E297" s="82"/>
    </row>
    <row r="298">
      <c r="C298" s="82"/>
      <c r="E298" s="82"/>
    </row>
    <row r="299">
      <c r="C299" s="82"/>
      <c r="E299" s="82"/>
    </row>
    <row r="300">
      <c r="C300" s="82"/>
      <c r="E300" s="82"/>
    </row>
    <row r="301">
      <c r="C301" s="82"/>
      <c r="E301" s="82"/>
    </row>
    <row r="302">
      <c r="C302" s="82"/>
      <c r="E302" s="82"/>
    </row>
    <row r="303">
      <c r="C303" s="82"/>
      <c r="E303" s="82"/>
    </row>
    <row r="304">
      <c r="C304" s="82"/>
      <c r="E304" s="82"/>
    </row>
    <row r="305">
      <c r="C305" s="82"/>
      <c r="E305" s="82"/>
    </row>
    <row r="306">
      <c r="C306" s="82"/>
      <c r="E306" s="82"/>
    </row>
    <row r="307">
      <c r="C307" s="82"/>
      <c r="E307" s="82"/>
    </row>
    <row r="308">
      <c r="C308" s="82"/>
      <c r="E308" s="82"/>
    </row>
    <row r="309">
      <c r="C309" s="82"/>
      <c r="E309" s="82"/>
    </row>
    <row r="310">
      <c r="C310" s="82"/>
      <c r="E310" s="82"/>
    </row>
    <row r="311">
      <c r="C311" s="82"/>
      <c r="E311" s="82"/>
    </row>
    <row r="312">
      <c r="C312" s="82"/>
      <c r="E312" s="82"/>
    </row>
    <row r="313">
      <c r="C313" s="82"/>
      <c r="E313" s="82"/>
    </row>
    <row r="314">
      <c r="C314" s="82"/>
      <c r="E314" s="82"/>
    </row>
    <row r="315">
      <c r="C315" s="82"/>
      <c r="E315" s="82"/>
    </row>
    <row r="316">
      <c r="C316" s="82"/>
      <c r="E316" s="82"/>
    </row>
    <row r="317">
      <c r="C317" s="82"/>
      <c r="E317" s="82"/>
    </row>
    <row r="318">
      <c r="C318" s="82"/>
      <c r="E318" s="82"/>
    </row>
    <row r="319">
      <c r="C319" s="82"/>
      <c r="E319" s="82"/>
    </row>
    <row r="320">
      <c r="C320" s="82"/>
      <c r="E320" s="82"/>
    </row>
    <row r="321">
      <c r="C321" s="82"/>
      <c r="E321" s="82"/>
    </row>
    <row r="322">
      <c r="C322" s="82"/>
      <c r="E322" s="82"/>
    </row>
    <row r="323">
      <c r="C323" s="82"/>
      <c r="E323" s="82"/>
    </row>
    <row r="324">
      <c r="C324" s="82"/>
      <c r="E324" s="82"/>
    </row>
    <row r="325">
      <c r="C325" s="82"/>
      <c r="E325" s="82"/>
    </row>
    <row r="326">
      <c r="C326" s="82"/>
      <c r="E326" s="82"/>
    </row>
    <row r="327">
      <c r="C327" s="82"/>
      <c r="E327" s="82"/>
    </row>
    <row r="328">
      <c r="C328" s="82"/>
      <c r="E328" s="82"/>
    </row>
    <row r="329">
      <c r="C329" s="82"/>
      <c r="E329" s="82"/>
    </row>
    <row r="330">
      <c r="C330" s="82"/>
      <c r="E330" s="82"/>
    </row>
    <row r="331">
      <c r="C331" s="82"/>
      <c r="E331" s="82"/>
    </row>
    <row r="332">
      <c r="C332" s="82"/>
      <c r="E332" s="82"/>
    </row>
    <row r="333">
      <c r="C333" s="82"/>
      <c r="E333" s="82"/>
    </row>
    <row r="334">
      <c r="C334" s="82"/>
      <c r="E334" s="82"/>
    </row>
    <row r="335">
      <c r="C335" s="82"/>
      <c r="E335" s="82"/>
    </row>
    <row r="336">
      <c r="C336" s="82"/>
      <c r="E336" s="82"/>
    </row>
    <row r="337">
      <c r="C337" s="82"/>
      <c r="E337" s="82"/>
    </row>
    <row r="338">
      <c r="C338" s="82"/>
      <c r="E338" s="82"/>
    </row>
    <row r="339">
      <c r="C339" s="82"/>
      <c r="E339" s="82"/>
    </row>
    <row r="340">
      <c r="C340" s="82"/>
      <c r="E340" s="82"/>
    </row>
    <row r="341">
      <c r="C341" s="82"/>
      <c r="E341" s="82"/>
    </row>
    <row r="342">
      <c r="C342" s="82"/>
      <c r="E342" s="82"/>
    </row>
    <row r="343">
      <c r="C343" s="82"/>
      <c r="E343" s="82"/>
    </row>
    <row r="344">
      <c r="C344" s="82"/>
      <c r="E344" s="82"/>
    </row>
    <row r="345">
      <c r="C345" s="82"/>
      <c r="E345" s="82"/>
    </row>
    <row r="346">
      <c r="C346" s="82"/>
      <c r="E346" s="82"/>
    </row>
    <row r="347">
      <c r="C347" s="82"/>
      <c r="E347" s="82"/>
    </row>
    <row r="348">
      <c r="C348" s="82"/>
      <c r="E348" s="82"/>
    </row>
    <row r="349">
      <c r="C349" s="82"/>
      <c r="E349" s="82"/>
    </row>
    <row r="350">
      <c r="C350" s="82"/>
      <c r="E350" s="82"/>
    </row>
    <row r="351">
      <c r="C351" s="82"/>
      <c r="E351" s="82"/>
    </row>
    <row r="352">
      <c r="C352" s="82"/>
      <c r="E352" s="82"/>
    </row>
    <row r="353">
      <c r="C353" s="82"/>
      <c r="E353" s="82"/>
    </row>
    <row r="354">
      <c r="C354" s="82"/>
      <c r="E354" s="82"/>
    </row>
    <row r="355">
      <c r="C355" s="82"/>
      <c r="E355" s="82"/>
    </row>
    <row r="356">
      <c r="C356" s="82"/>
      <c r="E356" s="82"/>
    </row>
    <row r="357">
      <c r="C357" s="82"/>
      <c r="E357" s="82"/>
    </row>
    <row r="358">
      <c r="C358" s="82"/>
      <c r="E358" s="82"/>
    </row>
    <row r="359">
      <c r="C359" s="82"/>
      <c r="E359" s="82"/>
    </row>
    <row r="360">
      <c r="C360" s="82"/>
      <c r="E360" s="82"/>
    </row>
    <row r="361">
      <c r="C361" s="82"/>
      <c r="E361" s="82"/>
    </row>
    <row r="362">
      <c r="C362" s="82"/>
      <c r="E362" s="82"/>
    </row>
    <row r="363">
      <c r="C363" s="82"/>
      <c r="E363" s="82"/>
    </row>
    <row r="364">
      <c r="C364" s="82"/>
      <c r="E364" s="82"/>
    </row>
    <row r="365">
      <c r="C365" s="82"/>
      <c r="E365" s="82"/>
    </row>
    <row r="366">
      <c r="C366" s="82"/>
      <c r="E366" s="82"/>
    </row>
    <row r="367">
      <c r="C367" s="82"/>
      <c r="E367" s="82"/>
    </row>
    <row r="368">
      <c r="C368" s="82"/>
      <c r="E368" s="82"/>
    </row>
    <row r="369">
      <c r="C369" s="82"/>
      <c r="E369" s="82"/>
    </row>
    <row r="370">
      <c r="C370" s="82"/>
      <c r="E370" s="82"/>
    </row>
    <row r="371">
      <c r="C371" s="82"/>
      <c r="E371" s="82"/>
    </row>
    <row r="372">
      <c r="C372" s="82"/>
      <c r="E372" s="82"/>
    </row>
    <row r="373">
      <c r="C373" s="82"/>
      <c r="E373" s="82"/>
    </row>
    <row r="374">
      <c r="C374" s="82"/>
      <c r="E374" s="82"/>
    </row>
    <row r="375">
      <c r="C375" s="82"/>
      <c r="E375" s="82"/>
    </row>
    <row r="376">
      <c r="C376" s="82"/>
      <c r="E376" s="82"/>
    </row>
    <row r="377">
      <c r="C377" s="82"/>
      <c r="E377" s="82"/>
    </row>
    <row r="378">
      <c r="C378" s="82"/>
      <c r="E378" s="82"/>
    </row>
    <row r="379">
      <c r="C379" s="82"/>
      <c r="E379" s="82"/>
    </row>
    <row r="380">
      <c r="C380" s="82"/>
      <c r="E380" s="82"/>
    </row>
    <row r="381">
      <c r="C381" s="82"/>
      <c r="E381" s="82"/>
    </row>
    <row r="382">
      <c r="C382" s="82"/>
      <c r="E382" s="82"/>
    </row>
    <row r="383">
      <c r="C383" s="82"/>
      <c r="E383" s="82"/>
    </row>
    <row r="384">
      <c r="C384" s="82"/>
      <c r="E384" s="82"/>
    </row>
    <row r="385">
      <c r="C385" s="82"/>
      <c r="E385" s="82"/>
    </row>
    <row r="386">
      <c r="C386" s="82"/>
      <c r="E386" s="82"/>
    </row>
    <row r="387">
      <c r="C387" s="82"/>
      <c r="E387" s="82"/>
    </row>
    <row r="388">
      <c r="C388" s="82"/>
      <c r="E388" s="82"/>
    </row>
    <row r="389">
      <c r="C389" s="82"/>
      <c r="E389" s="82"/>
    </row>
    <row r="390">
      <c r="C390" s="82"/>
      <c r="E390" s="82"/>
    </row>
    <row r="391">
      <c r="C391" s="82"/>
      <c r="E391" s="82"/>
    </row>
    <row r="392">
      <c r="C392" s="82"/>
      <c r="E392" s="82"/>
    </row>
    <row r="393">
      <c r="C393" s="82"/>
      <c r="E393" s="82"/>
    </row>
    <row r="394">
      <c r="C394" s="82"/>
      <c r="E394" s="82"/>
    </row>
    <row r="395">
      <c r="C395" s="82"/>
      <c r="E395" s="82"/>
    </row>
    <row r="396">
      <c r="C396" s="82"/>
      <c r="E396" s="82"/>
    </row>
    <row r="397">
      <c r="C397" s="82"/>
      <c r="E397" s="82"/>
    </row>
    <row r="398">
      <c r="C398" s="82"/>
      <c r="E398" s="82"/>
    </row>
    <row r="399">
      <c r="C399" s="82"/>
      <c r="E399" s="82"/>
    </row>
    <row r="400">
      <c r="C400" s="82"/>
      <c r="E400" s="82"/>
    </row>
    <row r="401">
      <c r="C401" s="82"/>
      <c r="E401" s="82"/>
    </row>
    <row r="402">
      <c r="C402" s="82"/>
      <c r="E402" s="82"/>
    </row>
    <row r="403">
      <c r="C403" s="82"/>
      <c r="E403" s="82"/>
    </row>
    <row r="404">
      <c r="C404" s="82"/>
      <c r="E404" s="82"/>
    </row>
    <row r="405">
      <c r="C405" s="82"/>
      <c r="E405" s="82"/>
    </row>
    <row r="406">
      <c r="C406" s="82"/>
      <c r="E406" s="82"/>
    </row>
    <row r="407">
      <c r="C407" s="82"/>
      <c r="E407" s="82"/>
    </row>
    <row r="408">
      <c r="C408" s="82"/>
      <c r="E408" s="82"/>
    </row>
    <row r="409">
      <c r="C409" s="82"/>
      <c r="E409" s="82"/>
    </row>
    <row r="410">
      <c r="C410" s="82"/>
      <c r="E410" s="82"/>
    </row>
    <row r="411">
      <c r="C411" s="82"/>
      <c r="E411" s="82"/>
    </row>
    <row r="412">
      <c r="C412" s="82"/>
      <c r="E412" s="82"/>
    </row>
    <row r="413">
      <c r="C413" s="82"/>
      <c r="E413" s="82"/>
    </row>
    <row r="414">
      <c r="C414" s="82"/>
      <c r="E414" s="82"/>
    </row>
    <row r="415">
      <c r="C415" s="82"/>
      <c r="E415" s="82"/>
    </row>
    <row r="416">
      <c r="C416" s="82"/>
      <c r="E416" s="82"/>
    </row>
    <row r="417">
      <c r="C417" s="82"/>
      <c r="E417" s="82"/>
    </row>
    <row r="418">
      <c r="C418" s="82"/>
      <c r="E418" s="82"/>
    </row>
    <row r="419">
      <c r="C419" s="82"/>
      <c r="E419" s="82"/>
    </row>
    <row r="420">
      <c r="C420" s="82"/>
      <c r="E420" s="82"/>
    </row>
    <row r="421">
      <c r="C421" s="82"/>
      <c r="E421" s="82"/>
    </row>
    <row r="422">
      <c r="C422" s="82"/>
      <c r="E422" s="82"/>
    </row>
    <row r="423">
      <c r="C423" s="82"/>
      <c r="E423" s="82"/>
    </row>
    <row r="424">
      <c r="C424" s="82"/>
      <c r="E424" s="82"/>
    </row>
    <row r="425">
      <c r="C425" s="82"/>
      <c r="E425" s="82"/>
    </row>
    <row r="426">
      <c r="C426" s="82"/>
      <c r="E426" s="82"/>
    </row>
    <row r="427">
      <c r="C427" s="82"/>
      <c r="E427" s="82"/>
    </row>
    <row r="428">
      <c r="C428" s="82"/>
      <c r="E428" s="82"/>
    </row>
    <row r="429">
      <c r="C429" s="82"/>
      <c r="E429" s="82"/>
    </row>
    <row r="430">
      <c r="C430" s="82"/>
      <c r="E430" s="82"/>
    </row>
    <row r="431">
      <c r="C431" s="82"/>
      <c r="E431" s="82"/>
    </row>
    <row r="432">
      <c r="C432" s="82"/>
      <c r="E432" s="82"/>
    </row>
    <row r="433">
      <c r="C433" s="82"/>
      <c r="E433" s="82"/>
    </row>
    <row r="434">
      <c r="C434" s="82"/>
      <c r="E434" s="82"/>
    </row>
    <row r="435">
      <c r="C435" s="82"/>
      <c r="E435" s="82"/>
    </row>
    <row r="436">
      <c r="C436" s="82"/>
      <c r="E436" s="82"/>
    </row>
    <row r="437">
      <c r="C437" s="82"/>
      <c r="E437" s="82"/>
    </row>
    <row r="438">
      <c r="C438" s="82"/>
      <c r="E438" s="82"/>
    </row>
    <row r="439">
      <c r="C439" s="82"/>
      <c r="E439" s="82"/>
    </row>
    <row r="440">
      <c r="C440" s="82"/>
      <c r="E440" s="82"/>
    </row>
    <row r="441">
      <c r="C441" s="82"/>
      <c r="E441" s="82"/>
    </row>
    <row r="442">
      <c r="C442" s="82"/>
      <c r="E442" s="82"/>
    </row>
    <row r="443">
      <c r="C443" s="82"/>
      <c r="E443" s="82"/>
    </row>
    <row r="444">
      <c r="C444" s="82"/>
      <c r="E444" s="82"/>
    </row>
    <row r="445">
      <c r="C445" s="82"/>
      <c r="E445" s="82"/>
    </row>
    <row r="446">
      <c r="C446" s="82"/>
      <c r="E446" s="82"/>
    </row>
    <row r="447">
      <c r="C447" s="82"/>
      <c r="E447" s="82"/>
    </row>
    <row r="448">
      <c r="C448" s="82"/>
      <c r="E448" s="82"/>
    </row>
    <row r="449">
      <c r="C449" s="82"/>
      <c r="E449" s="82"/>
    </row>
    <row r="450">
      <c r="C450" s="82"/>
      <c r="E450" s="82"/>
    </row>
    <row r="451">
      <c r="C451" s="82"/>
      <c r="E451" s="82"/>
    </row>
    <row r="452">
      <c r="C452" s="82"/>
      <c r="E452" s="82"/>
    </row>
    <row r="453">
      <c r="C453" s="82"/>
      <c r="E453" s="82"/>
    </row>
    <row r="454">
      <c r="C454" s="82"/>
      <c r="E454" s="82"/>
    </row>
    <row r="455">
      <c r="C455" s="82"/>
      <c r="E455" s="82"/>
    </row>
    <row r="456">
      <c r="C456" s="82"/>
      <c r="E456" s="82"/>
    </row>
    <row r="457">
      <c r="C457" s="82"/>
      <c r="E457" s="82"/>
    </row>
    <row r="458">
      <c r="C458" s="82"/>
      <c r="E458" s="82"/>
    </row>
    <row r="459">
      <c r="C459" s="82"/>
      <c r="E459" s="82"/>
    </row>
    <row r="460">
      <c r="C460" s="82"/>
      <c r="E460" s="82"/>
    </row>
    <row r="461">
      <c r="C461" s="82"/>
      <c r="E461" s="82"/>
    </row>
    <row r="462">
      <c r="C462" s="82"/>
      <c r="E462" s="82"/>
    </row>
    <row r="463">
      <c r="C463" s="82"/>
      <c r="E463" s="82"/>
    </row>
    <row r="464">
      <c r="C464" s="82"/>
      <c r="E464" s="82"/>
    </row>
    <row r="465">
      <c r="C465" s="82"/>
      <c r="E465" s="82"/>
    </row>
    <row r="466">
      <c r="C466" s="82"/>
      <c r="E466" s="82"/>
    </row>
    <row r="467">
      <c r="C467" s="82"/>
      <c r="E467" s="82"/>
    </row>
    <row r="468">
      <c r="C468" s="82"/>
      <c r="E468" s="82"/>
    </row>
    <row r="469">
      <c r="C469" s="82"/>
      <c r="E469" s="82"/>
    </row>
    <row r="470">
      <c r="C470" s="82"/>
      <c r="E470" s="82"/>
    </row>
    <row r="471">
      <c r="C471" s="82"/>
      <c r="E471" s="82"/>
    </row>
    <row r="472">
      <c r="C472" s="82"/>
      <c r="E472" s="82"/>
    </row>
    <row r="473">
      <c r="C473" s="82"/>
      <c r="E473" s="82"/>
    </row>
    <row r="474">
      <c r="C474" s="82"/>
      <c r="E474" s="82"/>
    </row>
    <row r="475">
      <c r="C475" s="82"/>
      <c r="E475" s="82"/>
    </row>
    <row r="476">
      <c r="C476" s="82"/>
      <c r="E476" s="82"/>
    </row>
    <row r="477">
      <c r="C477" s="82"/>
      <c r="E477" s="82"/>
    </row>
    <row r="478">
      <c r="C478" s="82"/>
      <c r="E478" s="82"/>
    </row>
    <row r="479">
      <c r="C479" s="82"/>
      <c r="E479" s="82"/>
    </row>
    <row r="480">
      <c r="C480" s="82"/>
      <c r="E480" s="82"/>
    </row>
    <row r="481">
      <c r="C481" s="82"/>
      <c r="E481" s="82"/>
    </row>
    <row r="482">
      <c r="C482" s="82"/>
      <c r="E482" s="82"/>
    </row>
    <row r="483">
      <c r="C483" s="82"/>
      <c r="E483" s="82"/>
    </row>
    <row r="484">
      <c r="C484" s="82"/>
      <c r="E484" s="82"/>
    </row>
    <row r="485">
      <c r="C485" s="82"/>
      <c r="E485" s="82"/>
    </row>
    <row r="486">
      <c r="C486" s="82"/>
      <c r="E486" s="82"/>
    </row>
    <row r="487">
      <c r="C487" s="82"/>
      <c r="E487" s="82"/>
    </row>
    <row r="488">
      <c r="C488" s="82"/>
      <c r="E488" s="82"/>
    </row>
    <row r="489">
      <c r="C489" s="82"/>
      <c r="E489" s="82"/>
    </row>
    <row r="490">
      <c r="C490" s="82"/>
      <c r="E490" s="82"/>
    </row>
    <row r="491">
      <c r="C491" s="82"/>
      <c r="E491" s="82"/>
    </row>
    <row r="492">
      <c r="C492" s="82"/>
      <c r="E492" s="82"/>
    </row>
    <row r="493">
      <c r="C493" s="82"/>
      <c r="E493" s="82"/>
    </row>
    <row r="494">
      <c r="C494" s="82"/>
      <c r="E494" s="82"/>
    </row>
    <row r="495">
      <c r="C495" s="82"/>
      <c r="E495" s="82"/>
    </row>
    <row r="496">
      <c r="C496" s="82"/>
      <c r="E496" s="82"/>
    </row>
    <row r="497">
      <c r="C497" s="82"/>
      <c r="E497" s="82"/>
    </row>
    <row r="498">
      <c r="C498" s="82"/>
      <c r="E498" s="82"/>
    </row>
    <row r="499">
      <c r="C499" s="82"/>
      <c r="E499" s="82"/>
    </row>
    <row r="500">
      <c r="C500" s="82"/>
      <c r="E500" s="82"/>
    </row>
    <row r="501">
      <c r="C501" s="82"/>
      <c r="E501" s="82"/>
    </row>
    <row r="502">
      <c r="C502" s="82"/>
      <c r="E502" s="82"/>
    </row>
    <row r="503">
      <c r="C503" s="82"/>
      <c r="E503" s="82"/>
    </row>
    <row r="504">
      <c r="C504" s="82"/>
      <c r="E504" s="82"/>
    </row>
    <row r="505">
      <c r="C505" s="82"/>
      <c r="E505" s="82"/>
    </row>
    <row r="506">
      <c r="C506" s="82"/>
      <c r="E506" s="82"/>
    </row>
    <row r="507">
      <c r="C507" s="82"/>
      <c r="E507" s="82"/>
    </row>
    <row r="508">
      <c r="C508" s="82"/>
      <c r="E508" s="82"/>
    </row>
    <row r="509">
      <c r="C509" s="82"/>
      <c r="E509" s="82"/>
    </row>
    <row r="510">
      <c r="C510" s="82"/>
      <c r="E510" s="82"/>
    </row>
    <row r="511">
      <c r="C511" s="82"/>
      <c r="E511" s="82"/>
    </row>
    <row r="512">
      <c r="C512" s="82"/>
      <c r="E512" s="82"/>
    </row>
    <row r="513">
      <c r="C513" s="82"/>
      <c r="E513" s="82"/>
    </row>
    <row r="514">
      <c r="C514" s="82"/>
      <c r="E514" s="82"/>
    </row>
    <row r="515">
      <c r="C515" s="82"/>
      <c r="E515" s="82"/>
    </row>
    <row r="516">
      <c r="C516" s="82"/>
      <c r="E516" s="82"/>
    </row>
    <row r="517">
      <c r="C517" s="82"/>
      <c r="E517" s="82"/>
    </row>
    <row r="518">
      <c r="C518" s="82"/>
      <c r="E518" s="82"/>
    </row>
    <row r="519">
      <c r="C519" s="82"/>
      <c r="E519" s="82"/>
    </row>
    <row r="520">
      <c r="C520" s="82"/>
      <c r="E520" s="82"/>
    </row>
    <row r="521">
      <c r="C521" s="82"/>
      <c r="E521" s="82"/>
    </row>
    <row r="522">
      <c r="C522" s="82"/>
      <c r="E522" s="82"/>
    </row>
    <row r="523">
      <c r="C523" s="82"/>
      <c r="E523" s="82"/>
    </row>
    <row r="524">
      <c r="C524" s="82"/>
      <c r="E524" s="82"/>
    </row>
    <row r="525">
      <c r="C525" s="82"/>
      <c r="E525" s="82"/>
    </row>
    <row r="526">
      <c r="C526" s="82"/>
      <c r="E526" s="82"/>
    </row>
    <row r="527">
      <c r="C527" s="82"/>
      <c r="E527" s="82"/>
    </row>
    <row r="528">
      <c r="C528" s="82"/>
      <c r="E528" s="82"/>
    </row>
    <row r="529">
      <c r="C529" s="82"/>
      <c r="E529" s="82"/>
    </row>
    <row r="530">
      <c r="C530" s="82"/>
      <c r="E530" s="82"/>
    </row>
    <row r="531">
      <c r="C531" s="82"/>
      <c r="E531" s="82"/>
    </row>
    <row r="532">
      <c r="C532" s="82"/>
      <c r="E532" s="82"/>
    </row>
    <row r="533">
      <c r="C533" s="82"/>
      <c r="E533" s="82"/>
    </row>
    <row r="534">
      <c r="C534" s="82"/>
      <c r="E534" s="82"/>
    </row>
    <row r="535">
      <c r="C535" s="82"/>
      <c r="E535" s="82"/>
    </row>
    <row r="536">
      <c r="C536" s="82"/>
      <c r="E536" s="82"/>
    </row>
    <row r="537">
      <c r="C537" s="82"/>
      <c r="E537" s="82"/>
    </row>
    <row r="538">
      <c r="C538" s="82"/>
      <c r="E538" s="82"/>
    </row>
    <row r="539">
      <c r="C539" s="82"/>
      <c r="E539" s="82"/>
    </row>
    <row r="540">
      <c r="C540" s="82"/>
      <c r="E540" s="82"/>
    </row>
    <row r="541">
      <c r="C541" s="82"/>
      <c r="E541" s="82"/>
    </row>
    <row r="542">
      <c r="C542" s="82"/>
      <c r="E542" s="82"/>
    </row>
    <row r="543">
      <c r="C543" s="82"/>
      <c r="E543" s="82"/>
    </row>
    <row r="544">
      <c r="C544" s="82"/>
      <c r="E544" s="82"/>
    </row>
    <row r="545">
      <c r="C545" s="82"/>
      <c r="E545" s="82"/>
    </row>
    <row r="546">
      <c r="C546" s="82"/>
      <c r="E546" s="82"/>
    </row>
    <row r="547">
      <c r="C547" s="82"/>
      <c r="E547" s="82"/>
    </row>
    <row r="548">
      <c r="C548" s="82"/>
      <c r="E548" s="82"/>
    </row>
    <row r="549">
      <c r="C549" s="82"/>
      <c r="E549" s="82"/>
    </row>
    <row r="550">
      <c r="C550" s="82"/>
      <c r="E550" s="82"/>
    </row>
    <row r="551">
      <c r="C551" s="82"/>
      <c r="E551" s="82"/>
    </row>
    <row r="552">
      <c r="C552" s="82"/>
      <c r="E552" s="82"/>
    </row>
    <row r="553">
      <c r="C553" s="82"/>
      <c r="E553" s="82"/>
    </row>
    <row r="554">
      <c r="C554" s="82"/>
      <c r="E554" s="82"/>
    </row>
    <row r="555">
      <c r="C555" s="82"/>
      <c r="E555" s="82"/>
    </row>
    <row r="556">
      <c r="C556" s="82"/>
      <c r="E556" s="82"/>
    </row>
    <row r="557">
      <c r="C557" s="82"/>
      <c r="E557" s="82"/>
    </row>
    <row r="558">
      <c r="C558" s="82"/>
      <c r="E558" s="82"/>
    </row>
    <row r="559">
      <c r="C559" s="82"/>
      <c r="E559" s="82"/>
    </row>
    <row r="560">
      <c r="C560" s="82"/>
      <c r="E560" s="82"/>
    </row>
    <row r="561">
      <c r="C561" s="82"/>
      <c r="E561" s="82"/>
    </row>
    <row r="562">
      <c r="C562" s="82"/>
      <c r="E562" s="82"/>
    </row>
    <row r="563">
      <c r="C563" s="82"/>
      <c r="E563" s="82"/>
    </row>
    <row r="564">
      <c r="C564" s="82"/>
      <c r="E564" s="82"/>
    </row>
    <row r="565">
      <c r="C565" s="82"/>
      <c r="E565" s="82"/>
    </row>
    <row r="566">
      <c r="C566" s="82"/>
      <c r="E566" s="82"/>
    </row>
    <row r="567">
      <c r="C567" s="82"/>
      <c r="E567" s="82"/>
    </row>
    <row r="568">
      <c r="C568" s="82"/>
      <c r="E568" s="82"/>
    </row>
    <row r="569">
      <c r="C569" s="82"/>
      <c r="E569" s="82"/>
    </row>
    <row r="570">
      <c r="C570" s="82"/>
      <c r="E570" s="82"/>
    </row>
    <row r="571">
      <c r="C571" s="82"/>
      <c r="E571" s="82"/>
    </row>
    <row r="572">
      <c r="C572" s="82"/>
      <c r="E572" s="82"/>
    </row>
    <row r="573">
      <c r="C573" s="82"/>
      <c r="E573" s="82"/>
    </row>
    <row r="574">
      <c r="C574" s="82"/>
      <c r="E574" s="82"/>
    </row>
    <row r="575">
      <c r="C575" s="82"/>
      <c r="E575" s="82"/>
    </row>
    <row r="576">
      <c r="C576" s="82"/>
      <c r="E576" s="82"/>
    </row>
    <row r="577">
      <c r="C577" s="82"/>
      <c r="E577" s="82"/>
    </row>
    <row r="578">
      <c r="C578" s="82"/>
      <c r="E578" s="82"/>
    </row>
    <row r="579">
      <c r="C579" s="82"/>
      <c r="E579" s="82"/>
    </row>
    <row r="580">
      <c r="C580" s="82"/>
      <c r="E580" s="82"/>
    </row>
    <row r="581">
      <c r="C581" s="82"/>
      <c r="E581" s="82"/>
    </row>
    <row r="582">
      <c r="C582" s="82"/>
      <c r="E582" s="82"/>
    </row>
    <row r="583">
      <c r="C583" s="82"/>
      <c r="E583" s="82"/>
    </row>
    <row r="584">
      <c r="C584" s="82"/>
      <c r="E584" s="82"/>
    </row>
    <row r="585">
      <c r="C585" s="82"/>
      <c r="E585" s="82"/>
    </row>
    <row r="586">
      <c r="C586" s="82"/>
      <c r="E586" s="82"/>
    </row>
    <row r="587">
      <c r="C587" s="82"/>
      <c r="E587" s="82"/>
    </row>
    <row r="588">
      <c r="C588" s="82"/>
      <c r="E588" s="82"/>
    </row>
    <row r="589">
      <c r="C589" s="82"/>
      <c r="E589" s="82"/>
    </row>
    <row r="590">
      <c r="C590" s="82"/>
      <c r="E590" s="82"/>
    </row>
    <row r="591">
      <c r="C591" s="82"/>
      <c r="E591" s="82"/>
    </row>
    <row r="592">
      <c r="C592" s="82"/>
      <c r="E592" s="82"/>
    </row>
    <row r="593">
      <c r="C593" s="82"/>
      <c r="E593" s="82"/>
    </row>
    <row r="594">
      <c r="C594" s="82"/>
      <c r="E594" s="82"/>
    </row>
    <row r="595">
      <c r="C595" s="82"/>
      <c r="E595" s="82"/>
    </row>
    <row r="596">
      <c r="C596" s="82"/>
      <c r="E596" s="82"/>
    </row>
    <row r="597">
      <c r="C597" s="82"/>
      <c r="E597" s="82"/>
    </row>
    <row r="598">
      <c r="C598" s="82"/>
      <c r="E598" s="82"/>
    </row>
    <row r="599">
      <c r="C599" s="82"/>
      <c r="E599" s="82"/>
    </row>
    <row r="600">
      <c r="C600" s="82"/>
      <c r="E600" s="82"/>
    </row>
    <row r="601">
      <c r="C601" s="82"/>
      <c r="E601" s="82"/>
    </row>
    <row r="602">
      <c r="C602" s="82"/>
      <c r="E602" s="82"/>
    </row>
    <row r="603">
      <c r="C603" s="82"/>
      <c r="E603" s="82"/>
    </row>
    <row r="604">
      <c r="C604" s="82"/>
      <c r="E604" s="82"/>
    </row>
    <row r="605">
      <c r="C605" s="82"/>
      <c r="E605" s="82"/>
    </row>
    <row r="606">
      <c r="C606" s="82"/>
      <c r="E606" s="82"/>
    </row>
    <row r="607">
      <c r="C607" s="82"/>
      <c r="E607" s="82"/>
    </row>
    <row r="608">
      <c r="C608" s="82"/>
      <c r="E608" s="82"/>
    </row>
    <row r="609">
      <c r="C609" s="82"/>
      <c r="E609" s="82"/>
    </row>
    <row r="610">
      <c r="C610" s="82"/>
      <c r="E610" s="82"/>
    </row>
    <row r="611">
      <c r="C611" s="82"/>
      <c r="E611" s="82"/>
    </row>
    <row r="612">
      <c r="C612" s="82"/>
      <c r="E612" s="82"/>
    </row>
    <row r="613">
      <c r="C613" s="82"/>
      <c r="E613" s="82"/>
    </row>
    <row r="614">
      <c r="C614" s="82"/>
      <c r="E614" s="82"/>
    </row>
    <row r="615">
      <c r="C615" s="82"/>
      <c r="E615" s="82"/>
    </row>
    <row r="616">
      <c r="C616" s="82"/>
      <c r="E616" s="82"/>
    </row>
    <row r="617">
      <c r="C617" s="82"/>
      <c r="E617" s="82"/>
    </row>
    <row r="618">
      <c r="C618" s="82"/>
      <c r="E618" s="82"/>
    </row>
    <row r="619">
      <c r="C619" s="82"/>
      <c r="E619" s="82"/>
    </row>
    <row r="620">
      <c r="C620" s="82"/>
      <c r="E620" s="82"/>
    </row>
    <row r="621">
      <c r="C621" s="82"/>
      <c r="E621" s="82"/>
    </row>
    <row r="622">
      <c r="C622" s="82"/>
      <c r="E622" s="82"/>
    </row>
    <row r="623">
      <c r="C623" s="82"/>
      <c r="E623" s="82"/>
    </row>
    <row r="624">
      <c r="C624" s="82"/>
      <c r="E624" s="82"/>
    </row>
    <row r="625">
      <c r="C625" s="82"/>
      <c r="E625" s="82"/>
    </row>
    <row r="626">
      <c r="C626" s="82"/>
      <c r="E626" s="82"/>
    </row>
    <row r="627">
      <c r="C627" s="82"/>
      <c r="E627" s="82"/>
    </row>
    <row r="628">
      <c r="C628" s="82"/>
      <c r="E628" s="82"/>
    </row>
    <row r="629">
      <c r="C629" s="82"/>
      <c r="E629" s="82"/>
    </row>
    <row r="630">
      <c r="C630" s="82"/>
      <c r="E630" s="82"/>
    </row>
    <row r="631">
      <c r="C631" s="82"/>
      <c r="E631" s="82"/>
    </row>
    <row r="632">
      <c r="C632" s="82"/>
      <c r="E632" s="82"/>
    </row>
    <row r="633">
      <c r="C633" s="82"/>
      <c r="E633" s="82"/>
    </row>
    <row r="634">
      <c r="C634" s="82"/>
      <c r="E634" s="82"/>
    </row>
    <row r="635">
      <c r="C635" s="82"/>
      <c r="E635" s="82"/>
    </row>
    <row r="636">
      <c r="C636" s="82"/>
      <c r="E636" s="82"/>
    </row>
    <row r="637">
      <c r="C637" s="82"/>
      <c r="E637" s="82"/>
    </row>
    <row r="638">
      <c r="C638" s="82"/>
      <c r="E638" s="82"/>
    </row>
    <row r="639">
      <c r="C639" s="82"/>
      <c r="E639" s="82"/>
    </row>
    <row r="640">
      <c r="C640" s="82"/>
      <c r="E640" s="82"/>
    </row>
    <row r="641">
      <c r="C641" s="82"/>
      <c r="E641" s="82"/>
    </row>
    <row r="642">
      <c r="C642" s="82"/>
      <c r="E642" s="82"/>
    </row>
    <row r="643">
      <c r="C643" s="82"/>
      <c r="E643" s="82"/>
    </row>
    <row r="644">
      <c r="C644" s="82"/>
      <c r="E644" s="82"/>
    </row>
    <row r="645">
      <c r="C645" s="82"/>
      <c r="E645" s="82"/>
    </row>
    <row r="646">
      <c r="C646" s="82"/>
      <c r="E646" s="82"/>
    </row>
    <row r="647">
      <c r="C647" s="82"/>
      <c r="E647" s="82"/>
    </row>
    <row r="648">
      <c r="C648" s="82"/>
      <c r="E648" s="82"/>
    </row>
    <row r="649">
      <c r="C649" s="82"/>
      <c r="E649" s="82"/>
    </row>
    <row r="650">
      <c r="C650" s="82"/>
      <c r="E650" s="82"/>
    </row>
    <row r="651">
      <c r="C651" s="82"/>
      <c r="E651" s="82"/>
    </row>
    <row r="652">
      <c r="C652" s="82"/>
      <c r="E652" s="82"/>
    </row>
    <row r="653">
      <c r="C653" s="82"/>
      <c r="E653" s="82"/>
    </row>
    <row r="654">
      <c r="C654" s="82"/>
      <c r="E654" s="82"/>
    </row>
    <row r="655">
      <c r="C655" s="82"/>
      <c r="E655" s="82"/>
    </row>
    <row r="656">
      <c r="C656" s="82"/>
      <c r="E656" s="82"/>
    </row>
    <row r="657">
      <c r="C657" s="82"/>
      <c r="E657" s="82"/>
    </row>
    <row r="658">
      <c r="C658" s="82"/>
      <c r="E658" s="82"/>
    </row>
    <row r="659">
      <c r="C659" s="82"/>
      <c r="E659" s="82"/>
    </row>
    <row r="660">
      <c r="C660" s="82"/>
      <c r="E660" s="82"/>
    </row>
    <row r="661">
      <c r="C661" s="82"/>
      <c r="E661" s="82"/>
    </row>
    <row r="662">
      <c r="C662" s="82"/>
      <c r="E662" s="82"/>
    </row>
    <row r="663">
      <c r="C663" s="82"/>
      <c r="E663" s="82"/>
    </row>
    <row r="664">
      <c r="C664" s="82"/>
      <c r="E664" s="82"/>
    </row>
    <row r="665">
      <c r="C665" s="82"/>
      <c r="E665" s="82"/>
    </row>
    <row r="666">
      <c r="C666" s="82"/>
      <c r="E666" s="82"/>
    </row>
    <row r="667">
      <c r="C667" s="82"/>
      <c r="E667" s="82"/>
    </row>
    <row r="668">
      <c r="C668" s="82"/>
      <c r="E668" s="82"/>
    </row>
    <row r="669">
      <c r="C669" s="82"/>
      <c r="E669" s="82"/>
    </row>
    <row r="670">
      <c r="C670" s="82"/>
      <c r="E670" s="82"/>
    </row>
    <row r="671">
      <c r="C671" s="82"/>
      <c r="E671" s="82"/>
    </row>
    <row r="672">
      <c r="C672" s="82"/>
      <c r="E672" s="82"/>
    </row>
    <row r="673">
      <c r="C673" s="82"/>
      <c r="E673" s="82"/>
    </row>
    <row r="674">
      <c r="C674" s="82"/>
      <c r="E674" s="82"/>
    </row>
    <row r="675">
      <c r="C675" s="82"/>
      <c r="E675" s="82"/>
    </row>
    <row r="676">
      <c r="C676" s="82"/>
      <c r="E676" s="82"/>
    </row>
    <row r="677">
      <c r="C677" s="82"/>
      <c r="E677" s="82"/>
    </row>
    <row r="678">
      <c r="C678" s="82"/>
      <c r="E678" s="82"/>
    </row>
    <row r="679">
      <c r="C679" s="82"/>
      <c r="E679" s="82"/>
    </row>
    <row r="680">
      <c r="C680" s="82"/>
      <c r="E680" s="82"/>
    </row>
    <row r="681">
      <c r="C681" s="82"/>
      <c r="E681" s="82"/>
    </row>
    <row r="682">
      <c r="C682" s="82"/>
      <c r="E682" s="82"/>
    </row>
    <row r="683">
      <c r="C683" s="82"/>
      <c r="E683" s="82"/>
    </row>
    <row r="684">
      <c r="C684" s="82"/>
      <c r="E684" s="82"/>
    </row>
    <row r="685">
      <c r="C685" s="82"/>
      <c r="E685" s="82"/>
    </row>
    <row r="686">
      <c r="C686" s="82"/>
      <c r="E686" s="82"/>
    </row>
    <row r="687">
      <c r="C687" s="82"/>
      <c r="E687" s="82"/>
    </row>
    <row r="688">
      <c r="C688" s="82"/>
      <c r="E688" s="82"/>
    </row>
    <row r="689">
      <c r="C689" s="82"/>
      <c r="E689" s="82"/>
    </row>
    <row r="690">
      <c r="C690" s="82"/>
      <c r="E690" s="82"/>
    </row>
    <row r="691">
      <c r="C691" s="82"/>
      <c r="E691" s="82"/>
    </row>
    <row r="692">
      <c r="C692" s="82"/>
      <c r="E692" s="82"/>
    </row>
    <row r="693">
      <c r="C693" s="82"/>
      <c r="E693" s="82"/>
    </row>
    <row r="694">
      <c r="C694" s="82"/>
      <c r="E694" s="82"/>
    </row>
    <row r="695">
      <c r="C695" s="82"/>
      <c r="E695" s="82"/>
    </row>
    <row r="696">
      <c r="C696" s="82"/>
      <c r="E696" s="82"/>
    </row>
    <row r="697">
      <c r="C697" s="82"/>
      <c r="E697" s="82"/>
    </row>
    <row r="698">
      <c r="C698" s="82"/>
      <c r="E698" s="82"/>
    </row>
    <row r="699">
      <c r="C699" s="82"/>
      <c r="E699" s="82"/>
    </row>
    <row r="700">
      <c r="C700" s="82"/>
      <c r="E700" s="82"/>
    </row>
    <row r="701">
      <c r="C701" s="82"/>
      <c r="E701" s="82"/>
    </row>
    <row r="702">
      <c r="C702" s="82"/>
      <c r="E702" s="82"/>
    </row>
    <row r="703">
      <c r="C703" s="82"/>
      <c r="E703" s="82"/>
    </row>
    <row r="704">
      <c r="C704" s="82"/>
      <c r="E704" s="82"/>
    </row>
    <row r="705">
      <c r="C705" s="82"/>
      <c r="E705" s="82"/>
    </row>
    <row r="706">
      <c r="C706" s="82"/>
      <c r="E706" s="82"/>
    </row>
    <row r="707">
      <c r="C707" s="82"/>
      <c r="E707" s="82"/>
    </row>
    <row r="708">
      <c r="C708" s="82"/>
      <c r="E708" s="82"/>
    </row>
    <row r="709">
      <c r="C709" s="82"/>
      <c r="E709" s="82"/>
    </row>
    <row r="710">
      <c r="C710" s="82"/>
      <c r="E710" s="82"/>
    </row>
    <row r="711">
      <c r="C711" s="82"/>
      <c r="E711" s="82"/>
    </row>
    <row r="712">
      <c r="C712" s="82"/>
      <c r="E712" s="82"/>
    </row>
    <row r="713">
      <c r="C713" s="82"/>
      <c r="E713" s="82"/>
    </row>
    <row r="714">
      <c r="C714" s="82"/>
      <c r="E714" s="82"/>
    </row>
    <row r="715">
      <c r="C715" s="82"/>
      <c r="E715" s="82"/>
    </row>
    <row r="716">
      <c r="C716" s="82"/>
      <c r="E716" s="82"/>
    </row>
    <row r="717">
      <c r="C717" s="82"/>
      <c r="E717" s="82"/>
    </row>
    <row r="718">
      <c r="C718" s="82"/>
      <c r="E718" s="82"/>
    </row>
    <row r="719">
      <c r="C719" s="82"/>
      <c r="E719" s="82"/>
    </row>
    <row r="720">
      <c r="C720" s="82"/>
      <c r="E720" s="82"/>
    </row>
    <row r="721">
      <c r="C721" s="82"/>
      <c r="E721" s="82"/>
    </row>
    <row r="722">
      <c r="C722" s="82"/>
      <c r="E722" s="82"/>
    </row>
    <row r="723">
      <c r="C723" s="82"/>
      <c r="E723" s="82"/>
    </row>
    <row r="724">
      <c r="C724" s="82"/>
      <c r="E724" s="82"/>
    </row>
    <row r="725">
      <c r="C725" s="82"/>
      <c r="E725" s="82"/>
    </row>
    <row r="726">
      <c r="C726" s="82"/>
      <c r="E726" s="82"/>
    </row>
    <row r="727">
      <c r="C727" s="82"/>
      <c r="E727" s="82"/>
    </row>
    <row r="728">
      <c r="C728" s="82"/>
      <c r="E728" s="82"/>
    </row>
    <row r="729">
      <c r="C729" s="82"/>
      <c r="E729" s="82"/>
    </row>
    <row r="730">
      <c r="C730" s="82"/>
      <c r="E730" s="82"/>
    </row>
    <row r="731">
      <c r="C731" s="82"/>
      <c r="E731" s="82"/>
    </row>
    <row r="732">
      <c r="C732" s="82"/>
      <c r="E732" s="82"/>
    </row>
    <row r="733">
      <c r="C733" s="82"/>
      <c r="E733" s="82"/>
    </row>
    <row r="734">
      <c r="C734" s="82"/>
      <c r="E734" s="82"/>
    </row>
    <row r="735">
      <c r="C735" s="82"/>
      <c r="E735" s="82"/>
    </row>
    <row r="736">
      <c r="C736" s="82"/>
      <c r="E736" s="82"/>
    </row>
    <row r="737">
      <c r="C737" s="82"/>
      <c r="E737" s="82"/>
    </row>
    <row r="738">
      <c r="C738" s="82"/>
      <c r="E738" s="82"/>
    </row>
    <row r="739">
      <c r="C739" s="82"/>
      <c r="E739" s="82"/>
    </row>
    <row r="740">
      <c r="C740" s="82"/>
      <c r="E740" s="82"/>
    </row>
    <row r="741">
      <c r="C741" s="82"/>
      <c r="E741" s="82"/>
    </row>
    <row r="742">
      <c r="C742" s="82"/>
      <c r="E742" s="82"/>
    </row>
    <row r="743">
      <c r="C743" s="82"/>
      <c r="E743" s="82"/>
    </row>
    <row r="744">
      <c r="C744" s="82"/>
      <c r="E744" s="82"/>
    </row>
    <row r="745">
      <c r="C745" s="82"/>
      <c r="E745" s="82"/>
    </row>
    <row r="746">
      <c r="C746" s="82"/>
      <c r="E746" s="82"/>
    </row>
    <row r="747">
      <c r="C747" s="82"/>
      <c r="E747" s="82"/>
    </row>
    <row r="748">
      <c r="C748" s="82"/>
      <c r="E748" s="82"/>
    </row>
    <row r="749">
      <c r="C749" s="82"/>
      <c r="E749" s="82"/>
    </row>
    <row r="750">
      <c r="C750" s="82"/>
      <c r="E750" s="82"/>
    </row>
    <row r="751">
      <c r="C751" s="82"/>
      <c r="E751" s="82"/>
    </row>
    <row r="752">
      <c r="C752" s="82"/>
      <c r="E752" s="82"/>
    </row>
    <row r="753">
      <c r="C753" s="82"/>
      <c r="E753" s="82"/>
    </row>
    <row r="754">
      <c r="C754" s="82"/>
      <c r="E754" s="82"/>
    </row>
    <row r="755">
      <c r="C755" s="82"/>
      <c r="E755" s="82"/>
    </row>
    <row r="756">
      <c r="C756" s="82"/>
      <c r="E756" s="82"/>
    </row>
    <row r="757">
      <c r="C757" s="82"/>
      <c r="E757" s="82"/>
    </row>
    <row r="758">
      <c r="C758" s="82"/>
      <c r="E758" s="82"/>
    </row>
    <row r="759">
      <c r="C759" s="82"/>
      <c r="E759" s="82"/>
    </row>
    <row r="760">
      <c r="C760" s="82"/>
      <c r="E760" s="82"/>
    </row>
    <row r="761">
      <c r="C761" s="82"/>
      <c r="E761" s="82"/>
    </row>
    <row r="762">
      <c r="C762" s="82"/>
      <c r="E762" s="82"/>
    </row>
    <row r="763">
      <c r="C763" s="82"/>
      <c r="E763" s="82"/>
    </row>
    <row r="764">
      <c r="C764" s="82"/>
      <c r="E764" s="82"/>
    </row>
    <row r="765">
      <c r="C765" s="82"/>
      <c r="E765" s="82"/>
    </row>
    <row r="766">
      <c r="C766" s="82"/>
      <c r="E766" s="82"/>
    </row>
    <row r="767">
      <c r="C767" s="82"/>
      <c r="E767" s="82"/>
    </row>
    <row r="768">
      <c r="C768" s="82"/>
      <c r="E768" s="82"/>
    </row>
    <row r="769">
      <c r="C769" s="82"/>
      <c r="E769" s="82"/>
    </row>
    <row r="770">
      <c r="C770" s="82"/>
      <c r="E770" s="82"/>
    </row>
    <row r="771">
      <c r="C771" s="82"/>
      <c r="E771" s="82"/>
    </row>
    <row r="772">
      <c r="C772" s="82"/>
      <c r="E772" s="82"/>
    </row>
    <row r="773">
      <c r="C773" s="82"/>
      <c r="E773" s="82"/>
    </row>
    <row r="774">
      <c r="C774" s="82"/>
      <c r="E774" s="82"/>
    </row>
    <row r="775">
      <c r="C775" s="82"/>
      <c r="E775" s="82"/>
    </row>
    <row r="776">
      <c r="C776" s="82"/>
      <c r="E776" s="82"/>
    </row>
    <row r="777">
      <c r="C777" s="82"/>
      <c r="E777" s="82"/>
    </row>
    <row r="778">
      <c r="C778" s="82"/>
      <c r="E778" s="82"/>
    </row>
    <row r="779">
      <c r="C779" s="82"/>
      <c r="E779" s="82"/>
    </row>
    <row r="780">
      <c r="C780" s="82"/>
      <c r="E780" s="82"/>
    </row>
    <row r="781">
      <c r="C781" s="82"/>
      <c r="E781" s="82"/>
    </row>
    <row r="782">
      <c r="C782" s="82"/>
      <c r="E782" s="82"/>
    </row>
    <row r="783">
      <c r="C783" s="82"/>
      <c r="E783" s="82"/>
    </row>
    <row r="784">
      <c r="C784" s="82"/>
      <c r="E784" s="82"/>
    </row>
    <row r="785">
      <c r="C785" s="82"/>
      <c r="E785" s="82"/>
    </row>
    <row r="786">
      <c r="C786" s="82"/>
      <c r="E786" s="82"/>
    </row>
    <row r="787">
      <c r="C787" s="82"/>
      <c r="E787" s="82"/>
    </row>
    <row r="788">
      <c r="C788" s="82"/>
      <c r="E788" s="82"/>
    </row>
    <row r="789">
      <c r="C789" s="82"/>
      <c r="E789" s="82"/>
    </row>
    <row r="790">
      <c r="C790" s="82"/>
      <c r="E790" s="82"/>
    </row>
    <row r="791">
      <c r="C791" s="82"/>
      <c r="E791" s="82"/>
    </row>
    <row r="792">
      <c r="C792" s="82"/>
      <c r="E792" s="82"/>
    </row>
    <row r="793">
      <c r="C793" s="82"/>
      <c r="E793" s="82"/>
    </row>
    <row r="794">
      <c r="C794" s="82"/>
      <c r="E794" s="82"/>
    </row>
    <row r="795">
      <c r="C795" s="82"/>
      <c r="E795" s="82"/>
    </row>
    <row r="796">
      <c r="C796" s="82"/>
      <c r="E796" s="82"/>
    </row>
    <row r="797">
      <c r="C797" s="82"/>
      <c r="E797" s="82"/>
    </row>
    <row r="798">
      <c r="C798" s="82"/>
      <c r="E798" s="82"/>
    </row>
    <row r="799">
      <c r="C799" s="82"/>
      <c r="E799" s="82"/>
    </row>
    <row r="800">
      <c r="C800" s="82"/>
      <c r="E800" s="82"/>
    </row>
    <row r="801">
      <c r="C801" s="82"/>
      <c r="E801" s="82"/>
    </row>
    <row r="802">
      <c r="C802" s="82"/>
      <c r="E802" s="82"/>
    </row>
    <row r="803">
      <c r="C803" s="82"/>
      <c r="E803" s="82"/>
    </row>
    <row r="804">
      <c r="C804" s="82"/>
      <c r="E804" s="82"/>
    </row>
    <row r="805">
      <c r="C805" s="82"/>
      <c r="E805" s="82"/>
    </row>
    <row r="806">
      <c r="C806" s="82"/>
      <c r="E806" s="82"/>
    </row>
    <row r="807">
      <c r="C807" s="82"/>
      <c r="E807" s="82"/>
    </row>
    <row r="808">
      <c r="C808" s="82"/>
      <c r="E808" s="82"/>
    </row>
    <row r="809">
      <c r="C809" s="82"/>
      <c r="E809" s="82"/>
    </row>
    <row r="810">
      <c r="C810" s="82"/>
      <c r="E810" s="82"/>
    </row>
    <row r="811">
      <c r="C811" s="82"/>
      <c r="E811" s="82"/>
    </row>
    <row r="812">
      <c r="C812" s="82"/>
      <c r="E812" s="82"/>
    </row>
    <row r="813">
      <c r="C813" s="82"/>
      <c r="E813" s="82"/>
    </row>
    <row r="814">
      <c r="C814" s="82"/>
      <c r="E814" s="82"/>
    </row>
    <row r="815">
      <c r="C815" s="82"/>
      <c r="E815" s="82"/>
    </row>
    <row r="816">
      <c r="C816" s="82"/>
      <c r="E816" s="82"/>
    </row>
    <row r="817">
      <c r="C817" s="82"/>
      <c r="E817" s="82"/>
    </row>
    <row r="818">
      <c r="C818" s="82"/>
      <c r="E818" s="82"/>
    </row>
    <row r="819">
      <c r="C819" s="82"/>
      <c r="E819" s="82"/>
    </row>
    <row r="820">
      <c r="C820" s="82"/>
      <c r="E820" s="82"/>
    </row>
    <row r="821">
      <c r="C821" s="82"/>
      <c r="E821" s="82"/>
    </row>
    <row r="822">
      <c r="C822" s="82"/>
      <c r="E822" s="82"/>
    </row>
    <row r="823">
      <c r="C823" s="82"/>
      <c r="E823" s="82"/>
    </row>
    <row r="824">
      <c r="C824" s="82"/>
      <c r="E824" s="82"/>
    </row>
    <row r="825">
      <c r="C825" s="82"/>
      <c r="E825" s="82"/>
    </row>
    <row r="826">
      <c r="C826" s="82"/>
      <c r="E826" s="82"/>
    </row>
    <row r="827">
      <c r="C827" s="82"/>
      <c r="E827" s="82"/>
    </row>
    <row r="828">
      <c r="C828" s="82"/>
      <c r="E828" s="82"/>
    </row>
    <row r="829">
      <c r="C829" s="82"/>
      <c r="E829" s="82"/>
    </row>
    <row r="830">
      <c r="C830" s="82"/>
      <c r="E830" s="82"/>
    </row>
    <row r="831">
      <c r="C831" s="82"/>
      <c r="E831" s="82"/>
    </row>
    <row r="832">
      <c r="C832" s="82"/>
      <c r="E832" s="82"/>
    </row>
    <row r="833">
      <c r="C833" s="82"/>
      <c r="E833" s="82"/>
    </row>
    <row r="834">
      <c r="C834" s="82"/>
      <c r="E834" s="82"/>
    </row>
    <row r="835">
      <c r="C835" s="82"/>
      <c r="E835" s="82"/>
    </row>
    <row r="836">
      <c r="C836" s="82"/>
      <c r="E836" s="82"/>
    </row>
    <row r="837">
      <c r="C837" s="82"/>
      <c r="E837" s="82"/>
    </row>
    <row r="838">
      <c r="C838" s="82"/>
      <c r="E838" s="82"/>
    </row>
    <row r="839">
      <c r="C839" s="82"/>
      <c r="E839" s="82"/>
    </row>
    <row r="840">
      <c r="C840" s="82"/>
      <c r="E840" s="82"/>
    </row>
    <row r="841">
      <c r="C841" s="82"/>
      <c r="E841" s="82"/>
    </row>
    <row r="842">
      <c r="C842" s="82"/>
      <c r="E842" s="82"/>
    </row>
    <row r="843">
      <c r="C843" s="82"/>
      <c r="E843" s="82"/>
    </row>
    <row r="844">
      <c r="C844" s="82"/>
      <c r="E844" s="82"/>
    </row>
    <row r="845">
      <c r="C845" s="82"/>
      <c r="E845" s="82"/>
    </row>
    <row r="846">
      <c r="C846" s="82"/>
      <c r="E846" s="82"/>
    </row>
    <row r="847">
      <c r="C847" s="82"/>
      <c r="E847" s="82"/>
    </row>
    <row r="848">
      <c r="C848" s="82"/>
      <c r="E848" s="82"/>
    </row>
    <row r="849">
      <c r="C849" s="82"/>
      <c r="E849" s="82"/>
    </row>
    <row r="850">
      <c r="C850" s="82"/>
      <c r="E850" s="82"/>
    </row>
    <row r="851">
      <c r="C851" s="82"/>
      <c r="E851" s="82"/>
    </row>
    <row r="852">
      <c r="C852" s="82"/>
      <c r="E852" s="82"/>
    </row>
    <row r="853">
      <c r="C853" s="82"/>
      <c r="E853" s="82"/>
    </row>
    <row r="854">
      <c r="C854" s="82"/>
      <c r="E854" s="82"/>
    </row>
    <row r="855">
      <c r="C855" s="82"/>
      <c r="E855" s="82"/>
    </row>
    <row r="856">
      <c r="C856" s="82"/>
      <c r="E856" s="82"/>
    </row>
    <row r="857">
      <c r="C857" s="82"/>
      <c r="E857" s="82"/>
    </row>
    <row r="858">
      <c r="C858" s="82"/>
      <c r="E858" s="82"/>
    </row>
    <row r="859">
      <c r="C859" s="82"/>
      <c r="E859" s="82"/>
    </row>
    <row r="860">
      <c r="C860" s="82"/>
      <c r="E860" s="82"/>
    </row>
    <row r="861">
      <c r="C861" s="82"/>
      <c r="E861" s="82"/>
    </row>
    <row r="862">
      <c r="C862" s="82"/>
      <c r="E862" s="82"/>
    </row>
    <row r="863">
      <c r="C863" s="82"/>
      <c r="E863" s="82"/>
    </row>
    <row r="864">
      <c r="C864" s="82"/>
      <c r="E864" s="82"/>
    </row>
    <row r="865">
      <c r="C865" s="82"/>
      <c r="E865" s="82"/>
    </row>
    <row r="866">
      <c r="C866" s="82"/>
      <c r="E866" s="82"/>
    </row>
    <row r="867">
      <c r="C867" s="82"/>
      <c r="E867" s="82"/>
    </row>
    <row r="868">
      <c r="C868" s="82"/>
      <c r="E868" s="82"/>
    </row>
    <row r="869">
      <c r="C869" s="82"/>
      <c r="E869" s="82"/>
    </row>
    <row r="870">
      <c r="C870" s="82"/>
      <c r="E870" s="82"/>
    </row>
    <row r="871">
      <c r="C871" s="82"/>
      <c r="E871" s="82"/>
    </row>
    <row r="872">
      <c r="C872" s="82"/>
      <c r="E872" s="82"/>
    </row>
    <row r="873">
      <c r="C873" s="82"/>
      <c r="E873" s="82"/>
    </row>
    <row r="874">
      <c r="C874" s="82"/>
      <c r="E874" s="82"/>
    </row>
    <row r="875">
      <c r="C875" s="82"/>
      <c r="E875" s="82"/>
    </row>
    <row r="876">
      <c r="C876" s="82"/>
      <c r="E876" s="82"/>
    </row>
    <row r="877">
      <c r="C877" s="82"/>
      <c r="E877" s="82"/>
    </row>
    <row r="878">
      <c r="C878" s="82"/>
      <c r="E878" s="82"/>
    </row>
    <row r="879">
      <c r="C879" s="82"/>
      <c r="E879" s="82"/>
    </row>
    <row r="880">
      <c r="C880" s="82"/>
      <c r="E880" s="82"/>
    </row>
    <row r="881">
      <c r="C881" s="82"/>
      <c r="E881" s="82"/>
    </row>
    <row r="882">
      <c r="C882" s="82"/>
      <c r="E882" s="82"/>
    </row>
    <row r="883">
      <c r="C883" s="82"/>
      <c r="E883" s="82"/>
    </row>
    <row r="884">
      <c r="C884" s="82"/>
      <c r="E884" s="82"/>
    </row>
    <row r="885">
      <c r="C885" s="82"/>
      <c r="E885" s="82"/>
    </row>
    <row r="886">
      <c r="C886" s="82"/>
      <c r="E886" s="82"/>
    </row>
    <row r="887">
      <c r="C887" s="82"/>
      <c r="E887" s="82"/>
    </row>
    <row r="888">
      <c r="C888" s="82"/>
      <c r="E888" s="82"/>
    </row>
    <row r="889">
      <c r="C889" s="82"/>
      <c r="E889" s="82"/>
    </row>
    <row r="890">
      <c r="C890" s="82"/>
      <c r="E890" s="82"/>
    </row>
    <row r="891">
      <c r="C891" s="82"/>
      <c r="E891" s="82"/>
    </row>
    <row r="892">
      <c r="C892" s="82"/>
      <c r="E892" s="82"/>
    </row>
    <row r="893">
      <c r="C893" s="82"/>
      <c r="E893" s="82"/>
    </row>
    <row r="894">
      <c r="C894" s="82"/>
      <c r="E894" s="82"/>
    </row>
    <row r="895">
      <c r="C895" s="82"/>
      <c r="E895" s="82"/>
    </row>
    <row r="896">
      <c r="C896" s="82"/>
      <c r="E896" s="82"/>
    </row>
    <row r="897">
      <c r="C897" s="82"/>
      <c r="E897" s="82"/>
    </row>
    <row r="898">
      <c r="C898" s="82"/>
      <c r="E898" s="82"/>
    </row>
    <row r="899">
      <c r="C899" s="82"/>
      <c r="E899" s="82"/>
    </row>
    <row r="900">
      <c r="C900" s="82"/>
      <c r="E900" s="82"/>
    </row>
    <row r="901">
      <c r="C901" s="82"/>
      <c r="E901" s="82"/>
    </row>
    <row r="902">
      <c r="C902" s="82"/>
      <c r="E902" s="82"/>
    </row>
    <row r="903">
      <c r="C903" s="82"/>
      <c r="E903" s="82"/>
    </row>
    <row r="904">
      <c r="C904" s="82"/>
      <c r="E904" s="82"/>
    </row>
    <row r="905">
      <c r="C905" s="82"/>
      <c r="E905" s="82"/>
    </row>
    <row r="906">
      <c r="C906" s="82"/>
      <c r="E906" s="82"/>
    </row>
    <row r="907">
      <c r="C907" s="82"/>
      <c r="E907" s="82"/>
    </row>
    <row r="908">
      <c r="C908" s="82"/>
      <c r="E908" s="82"/>
    </row>
    <row r="909">
      <c r="C909" s="82"/>
      <c r="E909" s="82"/>
    </row>
    <row r="910">
      <c r="C910" s="82"/>
      <c r="E910" s="82"/>
    </row>
    <row r="911">
      <c r="C911" s="82"/>
      <c r="E911" s="82"/>
    </row>
    <row r="912">
      <c r="C912" s="82"/>
      <c r="E912" s="82"/>
    </row>
    <row r="913">
      <c r="C913" s="82"/>
      <c r="E913" s="82"/>
    </row>
    <row r="914">
      <c r="C914" s="82"/>
      <c r="E914" s="82"/>
    </row>
    <row r="915">
      <c r="C915" s="82"/>
      <c r="E915" s="82"/>
    </row>
    <row r="916">
      <c r="C916" s="82"/>
      <c r="E916" s="82"/>
    </row>
    <row r="917">
      <c r="C917" s="82"/>
      <c r="E917" s="82"/>
    </row>
    <row r="918">
      <c r="C918" s="82"/>
      <c r="E918" s="82"/>
    </row>
    <row r="919">
      <c r="C919" s="82"/>
      <c r="E919" s="82"/>
    </row>
    <row r="920">
      <c r="C920" s="82"/>
      <c r="E920" s="82"/>
    </row>
    <row r="921">
      <c r="C921" s="82"/>
      <c r="E921" s="82"/>
    </row>
    <row r="922">
      <c r="C922" s="82"/>
      <c r="E922" s="82"/>
    </row>
    <row r="923">
      <c r="C923" s="82"/>
      <c r="E923" s="82"/>
    </row>
    <row r="924">
      <c r="C924" s="82"/>
      <c r="E924" s="82"/>
    </row>
    <row r="925">
      <c r="C925" s="82"/>
      <c r="E925" s="82"/>
    </row>
    <row r="926">
      <c r="C926" s="82"/>
      <c r="E926" s="82"/>
    </row>
    <row r="927">
      <c r="C927" s="82"/>
      <c r="E927" s="82"/>
    </row>
    <row r="928">
      <c r="C928" s="82"/>
      <c r="E928" s="82"/>
    </row>
    <row r="929">
      <c r="C929" s="82"/>
      <c r="E929" s="82"/>
    </row>
    <row r="930">
      <c r="C930" s="82"/>
      <c r="E930" s="82"/>
    </row>
    <row r="931">
      <c r="C931" s="82"/>
      <c r="E931" s="82"/>
    </row>
    <row r="932">
      <c r="C932" s="82"/>
      <c r="E932" s="82"/>
    </row>
    <row r="933">
      <c r="C933" s="82"/>
      <c r="E933" s="82"/>
    </row>
    <row r="934">
      <c r="C934" s="82"/>
      <c r="E934" s="82"/>
    </row>
    <row r="935">
      <c r="C935" s="82"/>
      <c r="E935" s="82"/>
    </row>
    <row r="936">
      <c r="C936" s="82"/>
      <c r="E936" s="82"/>
    </row>
    <row r="937">
      <c r="C937" s="82"/>
      <c r="E937" s="82"/>
    </row>
    <row r="938">
      <c r="C938" s="82"/>
      <c r="E938" s="82"/>
    </row>
    <row r="939">
      <c r="C939" s="82"/>
      <c r="E939" s="82"/>
    </row>
    <row r="940">
      <c r="C940" s="82"/>
      <c r="E940" s="82"/>
    </row>
    <row r="941">
      <c r="C941" s="82"/>
      <c r="E941" s="82"/>
    </row>
    <row r="942">
      <c r="C942" s="82"/>
      <c r="E942" s="82"/>
    </row>
    <row r="943">
      <c r="C943" s="82"/>
      <c r="E943" s="82"/>
    </row>
    <row r="944">
      <c r="C944" s="82"/>
      <c r="E944" s="82"/>
    </row>
    <row r="945">
      <c r="C945" s="82"/>
      <c r="E945" s="82"/>
    </row>
    <row r="946">
      <c r="C946" s="82"/>
      <c r="E946" s="82"/>
    </row>
    <row r="947">
      <c r="C947" s="82"/>
      <c r="E947" s="82"/>
    </row>
    <row r="948">
      <c r="C948" s="82"/>
      <c r="E948" s="82"/>
    </row>
    <row r="949">
      <c r="C949" s="82"/>
      <c r="E949" s="82"/>
    </row>
    <row r="950">
      <c r="C950" s="82"/>
      <c r="E950" s="82"/>
    </row>
    <row r="951">
      <c r="C951" s="82"/>
      <c r="E951" s="82"/>
    </row>
    <row r="952">
      <c r="C952" s="82"/>
      <c r="E952" s="82"/>
    </row>
    <row r="953">
      <c r="C953" s="82"/>
      <c r="E953" s="82"/>
    </row>
    <row r="954">
      <c r="C954" s="82"/>
      <c r="E954" s="82"/>
    </row>
    <row r="955">
      <c r="C955" s="82"/>
      <c r="E955" s="82"/>
    </row>
    <row r="956">
      <c r="C956" s="82"/>
      <c r="E956" s="82"/>
    </row>
    <row r="957">
      <c r="C957" s="82"/>
      <c r="E957" s="82"/>
    </row>
    <row r="958">
      <c r="C958" s="82"/>
      <c r="E958" s="82"/>
    </row>
    <row r="959">
      <c r="C959" s="82"/>
      <c r="E959" s="82"/>
    </row>
    <row r="960">
      <c r="C960" s="82"/>
      <c r="E960" s="82"/>
    </row>
    <row r="961">
      <c r="C961" s="82"/>
      <c r="E961" s="82"/>
    </row>
    <row r="962">
      <c r="C962" s="82"/>
      <c r="E962" s="82"/>
    </row>
    <row r="963">
      <c r="C963" s="82"/>
      <c r="E963" s="82"/>
    </row>
    <row r="964">
      <c r="C964" s="82"/>
      <c r="E964" s="82"/>
    </row>
    <row r="965">
      <c r="C965" s="82"/>
      <c r="E965" s="82"/>
    </row>
    <row r="966">
      <c r="C966" s="82"/>
      <c r="E966" s="82"/>
    </row>
    <row r="967">
      <c r="C967" s="82"/>
      <c r="E967" s="82"/>
    </row>
    <row r="968">
      <c r="C968" s="82"/>
      <c r="E968" s="82"/>
    </row>
    <row r="969">
      <c r="C969" s="82"/>
      <c r="E969" s="82"/>
    </row>
    <row r="970">
      <c r="C970" s="82"/>
      <c r="E970" s="82"/>
    </row>
    <row r="971">
      <c r="C971" s="82"/>
      <c r="E971" s="82"/>
    </row>
    <row r="972">
      <c r="C972" s="82"/>
      <c r="E972" s="82"/>
    </row>
    <row r="973">
      <c r="C973" s="82"/>
      <c r="E973" s="82"/>
    </row>
    <row r="974">
      <c r="C974" s="82"/>
      <c r="E974" s="82"/>
    </row>
    <row r="975">
      <c r="C975" s="82"/>
      <c r="E975" s="82"/>
    </row>
    <row r="976">
      <c r="C976" s="82"/>
      <c r="E976" s="82"/>
    </row>
    <row r="977">
      <c r="C977" s="82"/>
      <c r="E977" s="82"/>
    </row>
    <row r="978">
      <c r="C978" s="82"/>
      <c r="E978" s="82"/>
    </row>
    <row r="979">
      <c r="C979" s="82"/>
      <c r="E979" s="82"/>
    </row>
    <row r="980">
      <c r="C980" s="82"/>
      <c r="E980" s="82"/>
    </row>
    <row r="981">
      <c r="C981" s="82"/>
      <c r="E981" s="82"/>
    </row>
    <row r="982">
      <c r="C982" s="82"/>
      <c r="E982" s="82"/>
    </row>
    <row r="983">
      <c r="C983" s="82"/>
      <c r="E983" s="82"/>
    </row>
    <row r="984">
      <c r="C984" s="82"/>
      <c r="E984" s="82"/>
    </row>
    <row r="985">
      <c r="C985" s="82"/>
      <c r="E985" s="82"/>
    </row>
    <row r="986">
      <c r="C986" s="82"/>
      <c r="E986" s="82"/>
    </row>
    <row r="987">
      <c r="C987" s="82"/>
      <c r="E987" s="82"/>
    </row>
    <row r="988">
      <c r="C988" s="82"/>
      <c r="E988" s="82"/>
    </row>
    <row r="989">
      <c r="C989" s="82"/>
      <c r="E989" s="82"/>
    </row>
    <row r="990">
      <c r="C990" s="82"/>
      <c r="E990" s="82"/>
    </row>
    <row r="991">
      <c r="C991" s="82"/>
      <c r="E991" s="82"/>
    </row>
    <row r="992">
      <c r="C992" s="82"/>
      <c r="E992" s="82"/>
    </row>
    <row r="993">
      <c r="C993" s="82"/>
      <c r="E993" s="82"/>
    </row>
    <row r="994">
      <c r="C994" s="82"/>
      <c r="E994" s="82"/>
    </row>
    <row r="995">
      <c r="C995" s="82"/>
      <c r="E995" s="82"/>
    </row>
    <row r="996">
      <c r="C996" s="82"/>
      <c r="E996" s="82"/>
    </row>
    <row r="997">
      <c r="C997" s="82"/>
      <c r="E997" s="82"/>
    </row>
    <row r="998">
      <c r="C998" s="82"/>
      <c r="E998" s="82"/>
    </row>
    <row r="999">
      <c r="C999" s="82"/>
      <c r="E999" s="82"/>
    </row>
    <row r="1000">
      <c r="C1000" s="82"/>
      <c r="E1000" s="82"/>
    </row>
    <row r="1001">
      <c r="C1001" s="82"/>
      <c r="E1001" s="82"/>
    </row>
    <row r="1002">
      <c r="C1002" s="82"/>
      <c r="E1002" s="82"/>
    </row>
  </sheetData>
  <conditionalFormatting sqref="B3:B100">
    <cfRule type="expression" dxfId="1" priority="1">
      <formula>$D3&gt;$D$1</formula>
    </cfRule>
  </conditionalFormatting>
  <conditionalFormatting sqref="A3:A150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  <col customWidth="1" min="3" max="3" width="18.88"/>
    <col customWidth="1" min="4" max="4" width="10.38"/>
    <col customWidth="1" min="5" max="5" width="20.5"/>
  </cols>
  <sheetData>
    <row r="1">
      <c r="A1" s="1" t="s">
        <v>647</v>
      </c>
      <c r="B1" s="80">
        <f>COUNTIF(A3:A1002,"*L4*")</f>
        <v>5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4" t="s">
        <v>651</v>
      </c>
    </row>
    <row r="3">
      <c r="A3" s="8" t="str">
        <f>IFERROR(__xludf.DUMMYFUNCTION("QUERY(Master!A2:B1002, ""SELECT A, B WHERE A STARTS WITH 'L4-011'"", 0)"),"L4-011-00643")</f>
        <v>L4-011-00643</v>
      </c>
      <c r="B3" s="8" t="str">
        <f>IFERROR(__xludf.DUMMYFUNCTION("""COMPUTED_VALUE"""),"San Jose Elementary School - Pag-Ibig sa Nayon Annex")</f>
        <v>San Jose Elementary School - Pag-Ibig sa Nayon Annex</v>
      </c>
      <c r="C3" s="82" t="str">
        <f t="array" ref="C3">XLOOKUP(A3,DB!C:C,DB!K:K)</f>
        <v>Replaced defective AP</v>
      </c>
      <c r="D3" s="85">
        <f t="array" ref="D3">XLOOKUP(A3,DB!C:C,DB!B:B)</f>
        <v>46182</v>
      </c>
      <c r="E3" s="82" t="str">
        <f t="array" ref="E3">XLOOKUP(A3,DB!C:C,DB!F:F,"" )</f>
        <v>14.646638, 120.996447</v>
      </c>
    </row>
    <row r="4">
      <c r="A4" s="8" t="str">
        <f>IFERROR(__xludf.DUMMYFUNCTION("""COMPUTED_VALUE"""),"L4-011-00109")</f>
        <v>L4-011-00109</v>
      </c>
      <c r="B4" s="8" t="str">
        <f>IFERROR(__xludf.DUMMYFUNCTION("""COMPUTED_VALUE"""),"East Avenue Medical Center")</f>
        <v>East Avenue Medical Center</v>
      </c>
      <c r="C4" s="82" t="str">
        <f t="array" ref="C4">XLOOKUP(A4,DB!C:C,DB!K:K)</f>
        <v>#N/A</v>
      </c>
      <c r="D4" s="85" t="str">
        <f t="array" ref="D4">XLOOKUP(A4,DB!C:C,DB!B:B)</f>
        <v>#N/A</v>
      </c>
      <c r="E4" s="82" t="str">
        <f t="array" ref="E4">XLOOKUP(A4,DB!C:C,DB!F:F,"" )</f>
        <v/>
      </c>
    </row>
    <row r="5">
      <c r="A5" s="8" t="str">
        <f>IFERROR(__xludf.DUMMYFUNCTION("""COMPUTED_VALUE"""),"L4-011-00644")</f>
        <v>L4-011-00644</v>
      </c>
      <c r="B5" s="8" t="str">
        <f>IFERROR(__xludf.DUMMYFUNCTION("""COMPUTED_VALUE"""),"Sinag-Tala Elementary School")</f>
        <v>Sinag-Tala Elementary School</v>
      </c>
      <c r="C5" s="82" t="str">
        <f t="array" ref="C5">XLOOKUP(A5,DB!C:C,DB!K:K)</f>
        <v>Blinking LOS</v>
      </c>
      <c r="D5" s="85">
        <f t="array" ref="D5">XLOOKUP(A5,DB!C:C,DB!B:B)</f>
        <v>46182</v>
      </c>
      <c r="E5" s="82" t="str">
        <f t="array" ref="E5">XLOOKUP(A5,DB!C:C,DB!F:F,"" )</f>
        <v>14.650067, 121.015857</v>
      </c>
    </row>
    <row r="6">
      <c r="A6" s="8" t="str">
        <f>IFERROR(__xludf.DUMMYFUNCTION("""COMPUTED_VALUE"""),"L4-011-05F58")</f>
        <v>L4-011-05F58</v>
      </c>
      <c r="B6" s="8" t="str">
        <f>IFERROR(__xludf.DUMMYFUNCTION("""COMPUTED_VALUE"""),"Holy Spirit Health Center")</f>
        <v>Holy Spirit Health Center</v>
      </c>
      <c r="C6" s="82" t="str">
        <f t="array" ref="C6">XLOOKUP(A6,DB!C:C,DB!K:K)</f>
        <v/>
      </c>
      <c r="D6" s="85">
        <f t="array" ref="D6">XLOOKUP(A6,DB!C:C,DB!B:B)</f>
        <v>46129</v>
      </c>
      <c r="E6" s="82" t="str">
        <f t="array" ref="E6">XLOOKUP(A6,DB!C:C,DB!F:F,"" )</f>
        <v/>
      </c>
    </row>
    <row r="7">
      <c r="A7" s="8" t="str">
        <f>IFERROR(__xludf.DUMMYFUNCTION("""COMPUTED_VALUE"""),"L4-011-00626")</f>
        <v>L4-011-00626</v>
      </c>
      <c r="B7" s="8" t="str">
        <f>IFERROR(__xludf.DUMMYFUNCTION("""COMPUTED_VALUE"""),"Libis Elementary School")</f>
        <v>Libis Elementary School</v>
      </c>
      <c r="C7" s="82" t="str">
        <f t="array" ref="C7">XLOOKUP(A7,DB!C:C,DB!K:K)</f>
        <v>Replaced defective AP</v>
      </c>
      <c r="D7" s="85">
        <f t="array" ref="D7">XLOOKUP(A7,DB!C:C,DB!B:B)</f>
        <v>46184</v>
      </c>
      <c r="E7" s="82" t="str">
        <f t="array" ref="E7">XLOOKUP(A7,DB!C:C,DB!F:F,"" )</f>
        <v>14.615349, 121.073012</v>
      </c>
    </row>
    <row r="8">
      <c r="A8" s="8"/>
      <c r="B8" s="8"/>
      <c r="C8" s="82" t="str">
        <f t="array" ref="C8">XLOOKUP(A8,DB!C:C,DB!K:K)</f>
        <v>#N/A</v>
      </c>
      <c r="D8" s="85" t="str">
        <f t="array" ref="D8">XLOOKUP(A8,DB!C:C,DB!B:B)</f>
        <v>#N/A</v>
      </c>
      <c r="E8" s="82" t="str">
        <f t="array" ref="E8">XLOOKUP(A8,DB!C:C,DB!F:F,"" )</f>
        <v/>
      </c>
    </row>
    <row r="9">
      <c r="A9" s="8"/>
      <c r="B9" s="8"/>
      <c r="C9" s="82" t="str">
        <f t="array" ref="C9">XLOOKUP(A9,DB!C:C,DB!K:K)</f>
        <v>#N/A</v>
      </c>
      <c r="D9" s="85" t="str">
        <f t="array" ref="D9">XLOOKUP(A9,DB!C:C,DB!B:B)</f>
        <v>#N/A</v>
      </c>
      <c r="E9" s="82" t="str">
        <f t="array" ref="E9">XLOOKUP(A9,DB!C:C,DB!F:F,"" )</f>
        <v/>
      </c>
    </row>
    <row r="10">
      <c r="A10" s="8"/>
      <c r="B10" s="86"/>
      <c r="C10" s="82" t="str">
        <f t="array" ref="C10">XLOOKUP(A10,DB!C:C,DB!K:K)</f>
        <v>#N/A</v>
      </c>
      <c r="D10" s="85" t="str">
        <f t="array" ref="D10">XLOOKUP(A10,DB!C:C,DB!B:B)</f>
        <v>#N/A</v>
      </c>
      <c r="E10" s="82" t="str">
        <f t="array" ref="E10">XLOOKUP(A10,DB!C:C,DB!F:F,"" )</f>
        <v/>
      </c>
    </row>
    <row r="11">
      <c r="A11" s="8"/>
      <c r="B11" s="86"/>
      <c r="C11" s="82" t="str">
        <f t="array" ref="C11">XLOOKUP(A11,DB!C:C,DB!K:K)</f>
        <v>#N/A</v>
      </c>
      <c r="D11" s="85" t="str">
        <f t="array" ref="D11">XLOOKUP(A11,DB!C:C,DB!B:B)</f>
        <v>#N/A</v>
      </c>
      <c r="E11" s="82" t="str">
        <f t="array" ref="E11">XLOOKUP(A11,DB!C:C,DB!F:F,"" )</f>
        <v/>
      </c>
    </row>
    <row r="12">
      <c r="A12" s="8"/>
      <c r="B12" s="86"/>
      <c r="C12" s="82" t="str">
        <f t="array" ref="C12">XLOOKUP(A12,DB!C:C,DB!K:K)</f>
        <v>#N/A</v>
      </c>
      <c r="D12" s="85" t="str">
        <f t="array" ref="D12">XLOOKUP(A12,DB!C:C,DB!B:B)</f>
        <v>#N/A</v>
      </c>
      <c r="E12" s="82" t="str">
        <f t="array" ref="E12">XLOOKUP(A12,DB!C:C,DB!F:F,"" )</f>
        <v/>
      </c>
    </row>
    <row r="13">
      <c r="A13" s="8"/>
      <c r="B13" s="86"/>
      <c r="C13" s="82" t="str">
        <f t="array" ref="C13">XLOOKUP(A13,DB!C:C,DB!K:K)</f>
        <v>#N/A</v>
      </c>
      <c r="D13" s="85" t="str">
        <f t="array" ref="D13">XLOOKUP(A13,DB!C:C,DB!B:B)</f>
        <v>#N/A</v>
      </c>
      <c r="E13" s="82" t="str">
        <f t="array" ref="E13">XLOOKUP(A13,DB!C:C,DB!F:F,"" )</f>
        <v/>
      </c>
    </row>
    <row r="14">
      <c r="A14" s="8"/>
      <c r="B14" s="86"/>
      <c r="C14" s="82" t="str">
        <f t="array" ref="C14">XLOOKUP(A14,DB!C:C,DB!K:K)</f>
        <v>#N/A</v>
      </c>
      <c r="D14" s="85" t="str">
        <f t="array" ref="D14">XLOOKUP(A14,DB!C:C,DB!B:B)</f>
        <v>#N/A</v>
      </c>
      <c r="E14" s="82" t="str">
        <f t="array" ref="E14">XLOOKUP(A14,DB!C:C,DB!F:F,"" )</f>
        <v/>
      </c>
    </row>
    <row r="15">
      <c r="A15" s="8"/>
      <c r="B15" s="86"/>
      <c r="C15" s="82" t="str">
        <f t="array" ref="C15">XLOOKUP(A15,DB!C:C,DB!K:K)</f>
        <v>#N/A</v>
      </c>
      <c r="D15" s="85" t="str">
        <f t="array" ref="D15">XLOOKUP(A15,DB!C:C,DB!B:B)</f>
        <v>#N/A</v>
      </c>
      <c r="E15" s="82" t="str">
        <f t="array" ref="E15">XLOOKUP(A15,DB!C:C,DB!F:F,"" )</f>
        <v/>
      </c>
    </row>
    <row r="16">
      <c r="A16" s="8"/>
      <c r="B16" s="86"/>
      <c r="C16" s="82" t="str">
        <f t="array" ref="C16">XLOOKUP(A16,DB!C:C,DB!K:K)</f>
        <v>#N/A</v>
      </c>
      <c r="D16" s="85" t="str">
        <f t="array" ref="D16">XLOOKUP(A16,DB!C:C,DB!B:B)</f>
        <v>#N/A</v>
      </c>
      <c r="E16" s="82" t="str">
        <f t="array" ref="E16">XLOOKUP(A16,DB!C:C,DB!F:F,"" )</f>
        <v/>
      </c>
    </row>
    <row r="17">
      <c r="A17" s="8"/>
      <c r="B17" s="86"/>
      <c r="C17" s="82" t="str">
        <f t="array" ref="C17">XLOOKUP(A17,DB!C:C,DB!K:K)</f>
        <v>#N/A</v>
      </c>
      <c r="D17" s="85" t="str">
        <f t="array" ref="D17">XLOOKUP(A17,DB!C:C,DB!B:B)</f>
        <v>#N/A</v>
      </c>
      <c r="E17" s="82" t="str">
        <f t="array" ref="E17">XLOOKUP(A17,DB!C:C,DB!F:F,"" )</f>
        <v/>
      </c>
    </row>
    <row r="18">
      <c r="A18" s="8"/>
      <c r="B18" s="86"/>
      <c r="C18" s="82" t="str">
        <f t="array" ref="C18">XLOOKUP(A18,DB!C:C,DB!K:K)</f>
        <v>#N/A</v>
      </c>
      <c r="D18" s="85" t="str">
        <f t="array" ref="D18">XLOOKUP(A18,DB!C:C,DB!B:B)</f>
        <v>#N/A</v>
      </c>
      <c r="E18" s="82" t="str">
        <f t="array" ref="E18">XLOOKUP(A18,DB!C:C,DB!F:F,"" )</f>
        <v/>
      </c>
    </row>
    <row r="19">
      <c r="A19" s="6"/>
      <c r="B19" s="87"/>
      <c r="C19" s="82" t="str">
        <f t="array" ref="C19">XLOOKUP(A19,DB!C:C,DB!K:K)</f>
        <v>#N/A</v>
      </c>
      <c r="D19" s="85" t="str">
        <f t="array" ref="D19">XLOOKUP(A19,DB!C:C,DB!B:B)</f>
        <v>#N/A</v>
      </c>
      <c r="E19" s="82" t="str">
        <f t="array" ref="E19">XLOOKUP(A19,DB!C:C,DB!F:F,"" )</f>
        <v/>
      </c>
    </row>
    <row r="20">
      <c r="A20" s="4"/>
      <c r="C20" s="82" t="str">
        <f t="array" ref="C20">XLOOKUP(A20,DB!C:C,DB!K:K)</f>
        <v>#N/A</v>
      </c>
      <c r="D20" s="85" t="str">
        <f t="array" ref="D20">XLOOKUP(A20,DB!C:C,DB!B:B)</f>
        <v>#N/A</v>
      </c>
    </row>
    <row r="21">
      <c r="A21" s="4"/>
      <c r="C21" s="82" t="str">
        <f t="array" ref="C21">XLOOKUP(A21,DB!C:C,DB!K:K)</f>
        <v>#N/A</v>
      </c>
      <c r="D21" s="85" t="str">
        <f t="array" ref="D21">XLOOKUP(A21,DB!C:C,DB!B:B)</f>
        <v>#N/A</v>
      </c>
    </row>
    <row r="22">
      <c r="A22" s="4"/>
      <c r="C22" s="82" t="str">
        <f t="array" ref="C22">XLOOKUP(A22,DB!C:C,DB!K:K)</f>
        <v>#N/A</v>
      </c>
      <c r="D22" s="85" t="str">
        <f t="array" ref="D22">XLOOKUP(A22,DB!C:C,DB!B:B)</f>
        <v>#N/A</v>
      </c>
    </row>
    <row r="23">
      <c r="A23" s="4"/>
      <c r="C23" s="82"/>
    </row>
    <row r="24">
      <c r="A24" s="4"/>
      <c r="C24" s="82"/>
    </row>
    <row r="25">
      <c r="A25" s="4"/>
      <c r="C25" s="82"/>
    </row>
    <row r="26">
      <c r="A26" s="4"/>
      <c r="C26" s="82"/>
    </row>
    <row r="27">
      <c r="A27" s="4"/>
      <c r="C27" s="82"/>
    </row>
    <row r="28">
      <c r="A28" s="4"/>
      <c r="C28" s="82"/>
    </row>
    <row r="29">
      <c r="A29" s="4"/>
      <c r="C29" s="82"/>
    </row>
    <row r="30">
      <c r="A30" s="4"/>
      <c r="C30" s="82"/>
    </row>
    <row r="31">
      <c r="A31" s="4"/>
      <c r="C31" s="82"/>
    </row>
    <row r="32">
      <c r="A32" s="4"/>
      <c r="C32" s="82"/>
    </row>
    <row r="33">
      <c r="A33" s="4"/>
      <c r="C33" s="82"/>
    </row>
    <row r="34">
      <c r="A34" s="4"/>
      <c r="C34" s="82"/>
    </row>
    <row r="35">
      <c r="A35" s="4"/>
      <c r="C35" s="82"/>
    </row>
    <row r="36">
      <c r="A36" s="4"/>
      <c r="C36" s="82"/>
    </row>
    <row r="37">
      <c r="A37" s="4"/>
      <c r="C37" s="82"/>
    </row>
    <row r="38">
      <c r="A38" s="4"/>
      <c r="C38" s="82"/>
    </row>
    <row r="39">
      <c r="A39" s="4"/>
      <c r="C39" s="82"/>
    </row>
    <row r="40">
      <c r="A40" s="4"/>
      <c r="C40" s="82"/>
    </row>
    <row r="41">
      <c r="A41" s="4"/>
      <c r="C41" s="82"/>
    </row>
    <row r="42">
      <c r="A42" s="4"/>
      <c r="C42" s="82"/>
    </row>
    <row r="43">
      <c r="A43" s="4"/>
      <c r="C43" s="82"/>
    </row>
    <row r="44">
      <c r="A44" s="4"/>
      <c r="C44" s="82"/>
    </row>
    <row r="45">
      <c r="A45" s="4"/>
      <c r="C45" s="82"/>
    </row>
    <row r="46">
      <c r="A46" s="4"/>
      <c r="C46" s="82"/>
    </row>
    <row r="47">
      <c r="A47" s="4"/>
      <c r="C47" s="82"/>
    </row>
    <row r="48">
      <c r="A48" s="4"/>
      <c r="C48" s="82"/>
    </row>
    <row r="49">
      <c r="A49" s="4"/>
      <c r="C49" s="82"/>
    </row>
    <row r="50">
      <c r="A50" s="4"/>
      <c r="C50" s="82"/>
    </row>
    <row r="51">
      <c r="A51" s="4"/>
      <c r="C51" s="82"/>
    </row>
    <row r="52">
      <c r="A52" s="4"/>
      <c r="C52" s="82"/>
    </row>
    <row r="53">
      <c r="A53" s="4"/>
      <c r="C53" s="82"/>
    </row>
    <row r="54">
      <c r="A54" s="4"/>
      <c r="C54" s="82"/>
    </row>
    <row r="55">
      <c r="A55" s="4"/>
      <c r="C55" s="82"/>
    </row>
    <row r="56">
      <c r="A56" s="4"/>
      <c r="C56" s="82"/>
    </row>
    <row r="57">
      <c r="A57" s="4"/>
      <c r="C57" s="82"/>
    </row>
    <row r="58">
      <c r="A58" s="4"/>
      <c r="C58" s="82"/>
    </row>
    <row r="59">
      <c r="A59" s="4"/>
      <c r="C59" s="82"/>
    </row>
    <row r="60">
      <c r="A60" s="4"/>
      <c r="C60" s="82"/>
    </row>
    <row r="61">
      <c r="A61" s="4"/>
      <c r="C61" s="82"/>
    </row>
    <row r="62">
      <c r="A62" s="4"/>
      <c r="C62" s="82"/>
    </row>
    <row r="63">
      <c r="A63" s="4"/>
      <c r="C63" s="82"/>
    </row>
    <row r="64">
      <c r="A64" s="4"/>
      <c r="C64" s="82"/>
    </row>
    <row r="65">
      <c r="A65" s="4"/>
      <c r="C65" s="82"/>
    </row>
    <row r="66">
      <c r="A66" s="4"/>
      <c r="C66" s="82"/>
    </row>
    <row r="67">
      <c r="A67" s="4"/>
      <c r="C67" s="82"/>
    </row>
    <row r="68">
      <c r="A68" s="4"/>
      <c r="C68" s="82"/>
    </row>
    <row r="69">
      <c r="A69" s="4"/>
      <c r="C69" s="82"/>
    </row>
    <row r="70">
      <c r="A70" s="4"/>
      <c r="C70" s="82"/>
    </row>
    <row r="71">
      <c r="A71" s="4"/>
      <c r="C71" s="82"/>
    </row>
    <row r="72">
      <c r="A72" s="4"/>
      <c r="C72" s="82"/>
    </row>
    <row r="73">
      <c r="A73" s="4"/>
      <c r="C73" s="82"/>
    </row>
    <row r="74">
      <c r="A74" s="4"/>
      <c r="C74" s="82"/>
    </row>
    <row r="75">
      <c r="A75" s="4"/>
      <c r="C75" s="82"/>
    </row>
    <row r="76">
      <c r="A76" s="4"/>
      <c r="C76" s="82"/>
    </row>
    <row r="77">
      <c r="A77" s="4"/>
      <c r="C77" s="82"/>
    </row>
    <row r="78">
      <c r="A78" s="4"/>
      <c r="C78" s="82"/>
    </row>
    <row r="79">
      <c r="A79" s="4"/>
      <c r="C79" s="82"/>
    </row>
    <row r="80">
      <c r="A80" s="4"/>
      <c r="C80" s="82"/>
    </row>
    <row r="81">
      <c r="A81" s="4"/>
      <c r="C81" s="82"/>
    </row>
    <row r="82">
      <c r="A82" s="4"/>
      <c r="C82" s="82"/>
    </row>
    <row r="83">
      <c r="A83" s="4"/>
      <c r="C83" s="82"/>
    </row>
    <row r="84">
      <c r="A84" s="4"/>
      <c r="C84" s="82"/>
    </row>
    <row r="85">
      <c r="A85" s="4"/>
      <c r="C85" s="82"/>
    </row>
    <row r="86">
      <c r="A86" s="4"/>
      <c r="C86" s="82"/>
    </row>
    <row r="87">
      <c r="A87" s="4"/>
      <c r="C87" s="82"/>
    </row>
    <row r="88">
      <c r="A88" s="4"/>
      <c r="C88" s="82"/>
    </row>
    <row r="89">
      <c r="A89" s="4"/>
      <c r="C89" s="82"/>
    </row>
    <row r="90">
      <c r="A90" s="4"/>
      <c r="C90" s="82"/>
    </row>
    <row r="91">
      <c r="A91" s="4"/>
      <c r="C91" s="82"/>
    </row>
    <row r="92">
      <c r="A92" s="4"/>
      <c r="C92" s="82"/>
    </row>
    <row r="93">
      <c r="A93" s="4"/>
      <c r="C93" s="82"/>
    </row>
    <row r="94">
      <c r="A94" s="4"/>
      <c r="C94" s="82"/>
    </row>
    <row r="95">
      <c r="A95" s="4"/>
      <c r="C95" s="82"/>
    </row>
    <row r="96">
      <c r="A96" s="4"/>
      <c r="C96" s="82"/>
    </row>
    <row r="97">
      <c r="A97" s="4"/>
      <c r="C97" s="82"/>
    </row>
    <row r="98">
      <c r="A98" s="4"/>
      <c r="C98" s="82"/>
    </row>
    <row r="99">
      <c r="A99" s="4"/>
      <c r="C99" s="82"/>
    </row>
    <row r="100">
      <c r="A100" s="4"/>
      <c r="C100" s="82"/>
    </row>
    <row r="101">
      <c r="C101" s="82"/>
    </row>
    <row r="102">
      <c r="C102" s="82"/>
    </row>
    <row r="103">
      <c r="C103" s="82"/>
    </row>
    <row r="104">
      <c r="C104" s="82"/>
    </row>
    <row r="105">
      <c r="C105" s="82"/>
    </row>
    <row r="106">
      <c r="C106" s="82"/>
    </row>
    <row r="107">
      <c r="C107" s="82"/>
    </row>
    <row r="108">
      <c r="C108" s="82"/>
    </row>
    <row r="109">
      <c r="C109" s="82"/>
    </row>
    <row r="110">
      <c r="C110" s="82"/>
    </row>
    <row r="111">
      <c r="C111" s="82"/>
    </row>
    <row r="112">
      <c r="C112" s="82"/>
    </row>
    <row r="113">
      <c r="C113" s="82"/>
    </row>
    <row r="114">
      <c r="C114" s="82"/>
    </row>
    <row r="115">
      <c r="C115" s="82"/>
    </row>
    <row r="116">
      <c r="C116" s="82"/>
    </row>
    <row r="117">
      <c r="C117" s="82"/>
    </row>
    <row r="118">
      <c r="C118" s="82"/>
    </row>
    <row r="119">
      <c r="C119" s="82"/>
    </row>
    <row r="120">
      <c r="C120" s="82"/>
    </row>
    <row r="121">
      <c r="C121" s="82"/>
    </row>
    <row r="122">
      <c r="C122" s="82"/>
    </row>
    <row r="123">
      <c r="C123" s="82"/>
    </row>
    <row r="124">
      <c r="C124" s="82"/>
    </row>
    <row r="125">
      <c r="C125" s="82"/>
    </row>
    <row r="126">
      <c r="C126" s="82"/>
    </row>
    <row r="127">
      <c r="C127" s="82"/>
    </row>
    <row r="128">
      <c r="C128" s="82"/>
    </row>
    <row r="129">
      <c r="C129" s="82"/>
    </row>
    <row r="130">
      <c r="C130" s="82"/>
    </row>
    <row r="131">
      <c r="C131" s="82"/>
    </row>
    <row r="132">
      <c r="C132" s="82"/>
    </row>
    <row r="133">
      <c r="C133" s="82"/>
    </row>
    <row r="134">
      <c r="C134" s="82"/>
    </row>
    <row r="135">
      <c r="C135" s="82"/>
    </row>
    <row r="136">
      <c r="C136" s="82"/>
    </row>
    <row r="137">
      <c r="C137" s="82"/>
    </row>
    <row r="138">
      <c r="C138" s="82"/>
    </row>
    <row r="139">
      <c r="C139" s="82"/>
    </row>
    <row r="140">
      <c r="C140" s="82"/>
    </row>
    <row r="141">
      <c r="C141" s="82"/>
    </row>
    <row r="142">
      <c r="C142" s="82"/>
    </row>
    <row r="143">
      <c r="C143" s="82"/>
    </row>
    <row r="144">
      <c r="C144" s="82"/>
    </row>
    <row r="145">
      <c r="C145" s="82"/>
    </row>
    <row r="146">
      <c r="C146" s="82"/>
    </row>
    <row r="147">
      <c r="C147" s="82"/>
    </row>
    <row r="148">
      <c r="C148" s="82"/>
    </row>
    <row r="149">
      <c r="C149" s="82"/>
    </row>
    <row r="150">
      <c r="C150" s="82"/>
    </row>
    <row r="151">
      <c r="C151" s="82"/>
    </row>
    <row r="152">
      <c r="C152" s="82"/>
    </row>
    <row r="153">
      <c r="C153" s="82"/>
    </row>
    <row r="154">
      <c r="C154" s="82"/>
    </row>
    <row r="155">
      <c r="C155" s="82"/>
    </row>
    <row r="156">
      <c r="C156" s="82"/>
    </row>
    <row r="157">
      <c r="C157" s="82"/>
    </row>
    <row r="158">
      <c r="C158" s="82"/>
    </row>
    <row r="159">
      <c r="C159" s="82"/>
    </row>
    <row r="160">
      <c r="C160" s="82"/>
    </row>
    <row r="161">
      <c r="C161" s="82"/>
    </row>
    <row r="162">
      <c r="C162" s="82"/>
    </row>
    <row r="163">
      <c r="C163" s="82"/>
    </row>
    <row r="164">
      <c r="C164" s="82"/>
    </row>
    <row r="165">
      <c r="C165" s="82"/>
    </row>
    <row r="166">
      <c r="C166" s="82"/>
    </row>
    <row r="167">
      <c r="C167" s="82"/>
    </row>
    <row r="168">
      <c r="C168" s="82"/>
    </row>
    <row r="169">
      <c r="C169" s="82"/>
    </row>
    <row r="170">
      <c r="C170" s="82"/>
    </row>
    <row r="171">
      <c r="C171" s="82"/>
    </row>
    <row r="172">
      <c r="C172" s="82"/>
    </row>
    <row r="173">
      <c r="C173" s="82"/>
    </row>
    <row r="174">
      <c r="C174" s="82"/>
    </row>
    <row r="175">
      <c r="C175" s="82"/>
    </row>
    <row r="176">
      <c r="C176" s="82"/>
    </row>
    <row r="177">
      <c r="C177" s="82"/>
    </row>
    <row r="178">
      <c r="C178" s="82"/>
    </row>
    <row r="179">
      <c r="C179" s="82"/>
    </row>
    <row r="180">
      <c r="C180" s="82"/>
    </row>
    <row r="181">
      <c r="C181" s="82"/>
    </row>
    <row r="182">
      <c r="C182" s="82"/>
    </row>
    <row r="183">
      <c r="C183" s="82"/>
    </row>
    <row r="184">
      <c r="C184" s="82"/>
    </row>
    <row r="185">
      <c r="C185" s="82"/>
    </row>
    <row r="186">
      <c r="C186" s="82"/>
    </row>
    <row r="187">
      <c r="C187" s="82"/>
    </row>
    <row r="188">
      <c r="C188" s="82"/>
    </row>
    <row r="189">
      <c r="C189" s="82"/>
    </row>
    <row r="190">
      <c r="C190" s="82"/>
    </row>
    <row r="191">
      <c r="C191" s="82"/>
    </row>
    <row r="192">
      <c r="C192" s="82"/>
    </row>
    <row r="193">
      <c r="C193" s="82"/>
    </row>
    <row r="194">
      <c r="C194" s="82"/>
    </row>
    <row r="195">
      <c r="C195" s="82"/>
    </row>
    <row r="196">
      <c r="C196" s="82"/>
    </row>
    <row r="197">
      <c r="C197" s="82"/>
    </row>
    <row r="198">
      <c r="C198" s="82"/>
    </row>
    <row r="199">
      <c r="C199" s="82"/>
    </row>
    <row r="200">
      <c r="C200" s="82"/>
    </row>
    <row r="201">
      <c r="C201" s="82"/>
    </row>
    <row r="202">
      <c r="C202" s="82"/>
    </row>
    <row r="203">
      <c r="C203" s="82"/>
    </row>
    <row r="204">
      <c r="C204" s="82"/>
    </row>
    <row r="205">
      <c r="C205" s="82"/>
    </row>
    <row r="206">
      <c r="C206" s="82"/>
    </row>
    <row r="207">
      <c r="C207" s="82"/>
    </row>
    <row r="208">
      <c r="C208" s="82"/>
    </row>
    <row r="209">
      <c r="C209" s="82"/>
    </row>
    <row r="210">
      <c r="C210" s="82"/>
    </row>
    <row r="211">
      <c r="C211" s="82"/>
    </row>
    <row r="212">
      <c r="C212" s="82"/>
    </row>
    <row r="213">
      <c r="C213" s="82"/>
    </row>
    <row r="214">
      <c r="C214" s="82"/>
    </row>
    <row r="215">
      <c r="C215" s="82"/>
    </row>
    <row r="216">
      <c r="C216" s="82"/>
    </row>
    <row r="217">
      <c r="C217" s="82"/>
    </row>
    <row r="218">
      <c r="C218" s="82"/>
    </row>
    <row r="219">
      <c r="C219" s="82"/>
    </row>
    <row r="220">
      <c r="C220" s="82"/>
    </row>
    <row r="221">
      <c r="C221" s="82"/>
    </row>
    <row r="222">
      <c r="C222" s="82"/>
    </row>
    <row r="223">
      <c r="C223" s="82"/>
    </row>
    <row r="224">
      <c r="C224" s="82"/>
    </row>
    <row r="225">
      <c r="C225" s="82"/>
    </row>
    <row r="226">
      <c r="C226" s="82"/>
    </row>
    <row r="227">
      <c r="C227" s="82"/>
    </row>
    <row r="228">
      <c r="C228" s="82"/>
    </row>
    <row r="229">
      <c r="C229" s="82"/>
    </row>
    <row r="230">
      <c r="C230" s="82"/>
    </row>
    <row r="231">
      <c r="C231" s="82"/>
    </row>
    <row r="232">
      <c r="C232" s="82"/>
    </row>
    <row r="233">
      <c r="C233" s="82"/>
    </row>
    <row r="234">
      <c r="C234" s="82"/>
    </row>
    <row r="235">
      <c r="C235" s="82"/>
    </row>
    <row r="236">
      <c r="C236" s="82"/>
    </row>
    <row r="237">
      <c r="C237" s="82"/>
    </row>
    <row r="238">
      <c r="C238" s="82"/>
    </row>
    <row r="239">
      <c r="C239" s="82"/>
    </row>
    <row r="240">
      <c r="C240" s="82"/>
    </row>
    <row r="241">
      <c r="C241" s="82"/>
    </row>
    <row r="242">
      <c r="C242" s="82"/>
    </row>
    <row r="243">
      <c r="C243" s="82"/>
    </row>
    <row r="244">
      <c r="C244" s="82"/>
    </row>
    <row r="245">
      <c r="C245" s="82"/>
    </row>
    <row r="246">
      <c r="C246" s="82"/>
    </row>
    <row r="247">
      <c r="C247" s="82"/>
    </row>
    <row r="248">
      <c r="C248" s="82"/>
    </row>
    <row r="249">
      <c r="C249" s="82"/>
    </row>
    <row r="250">
      <c r="C250" s="82"/>
    </row>
    <row r="251">
      <c r="C251" s="82"/>
    </row>
    <row r="252">
      <c r="C252" s="82"/>
    </row>
    <row r="253">
      <c r="C253" s="82"/>
    </row>
    <row r="254">
      <c r="C254" s="82"/>
    </row>
    <row r="255">
      <c r="C255" s="82"/>
    </row>
    <row r="256">
      <c r="C256" s="82"/>
    </row>
    <row r="257">
      <c r="C257" s="82"/>
    </row>
    <row r="258">
      <c r="C258" s="82"/>
    </row>
    <row r="259">
      <c r="C259" s="82"/>
    </row>
    <row r="260">
      <c r="C260" s="82"/>
    </row>
    <row r="261">
      <c r="C261" s="82"/>
    </row>
    <row r="262">
      <c r="C262" s="82"/>
    </row>
    <row r="263">
      <c r="C263" s="82"/>
    </row>
    <row r="264">
      <c r="C264" s="82"/>
    </row>
    <row r="265">
      <c r="C265" s="82"/>
    </row>
    <row r="266">
      <c r="C266" s="82"/>
    </row>
    <row r="267">
      <c r="C267" s="82"/>
    </row>
    <row r="268">
      <c r="C268" s="82"/>
    </row>
    <row r="269">
      <c r="C269" s="82"/>
    </row>
    <row r="270">
      <c r="C270" s="82"/>
    </row>
    <row r="271">
      <c r="C271" s="82"/>
    </row>
    <row r="272">
      <c r="C272" s="82"/>
    </row>
    <row r="273">
      <c r="C273" s="82"/>
    </row>
    <row r="274">
      <c r="C274" s="82"/>
    </row>
    <row r="275">
      <c r="C275" s="82"/>
    </row>
    <row r="276">
      <c r="C276" s="82"/>
    </row>
    <row r="277">
      <c r="C277" s="82"/>
    </row>
    <row r="278">
      <c r="C278" s="82"/>
    </row>
    <row r="279">
      <c r="C279" s="82"/>
    </row>
    <row r="280">
      <c r="C280" s="82"/>
    </row>
    <row r="281">
      <c r="C281" s="82"/>
    </row>
    <row r="282">
      <c r="C282" s="82"/>
    </row>
    <row r="283">
      <c r="C283" s="82"/>
    </row>
    <row r="284">
      <c r="C284" s="82"/>
    </row>
    <row r="285">
      <c r="C285" s="82"/>
    </row>
    <row r="286">
      <c r="C286" s="82"/>
    </row>
    <row r="287">
      <c r="C287" s="82"/>
    </row>
    <row r="288">
      <c r="C288" s="82"/>
    </row>
    <row r="289">
      <c r="C289" s="82"/>
    </row>
    <row r="290">
      <c r="C290" s="82"/>
    </row>
    <row r="291">
      <c r="C291" s="82"/>
    </row>
    <row r="292">
      <c r="C292" s="82"/>
    </row>
    <row r="293">
      <c r="C293" s="82"/>
    </row>
    <row r="294">
      <c r="C294" s="82"/>
    </row>
    <row r="295">
      <c r="C295" s="82"/>
    </row>
    <row r="296">
      <c r="C296" s="82"/>
    </row>
    <row r="297">
      <c r="C297" s="82"/>
    </row>
    <row r="298">
      <c r="C298" s="82"/>
    </row>
    <row r="299">
      <c r="C299" s="82"/>
    </row>
    <row r="300">
      <c r="C300" s="82"/>
    </row>
    <row r="301">
      <c r="C301" s="82"/>
    </row>
    <row r="302">
      <c r="C302" s="82"/>
    </row>
    <row r="303">
      <c r="C303" s="82"/>
    </row>
    <row r="304">
      <c r="C304" s="82"/>
    </row>
    <row r="305">
      <c r="C305" s="82"/>
    </row>
    <row r="306">
      <c r="C306" s="82"/>
    </row>
    <row r="307">
      <c r="C307" s="82"/>
    </row>
    <row r="308">
      <c r="C308" s="82"/>
    </row>
    <row r="309">
      <c r="C309" s="82"/>
    </row>
    <row r="310">
      <c r="C310" s="82"/>
    </row>
    <row r="311">
      <c r="C311" s="82"/>
    </row>
    <row r="312">
      <c r="C312" s="82"/>
    </row>
    <row r="313">
      <c r="C313" s="82"/>
    </row>
    <row r="314">
      <c r="C314" s="82"/>
    </row>
    <row r="315">
      <c r="C315" s="82"/>
    </row>
    <row r="316">
      <c r="C316" s="82"/>
    </row>
    <row r="317">
      <c r="C317" s="82"/>
    </row>
    <row r="318">
      <c r="C318" s="82"/>
    </row>
    <row r="319">
      <c r="C319" s="82"/>
    </row>
    <row r="320">
      <c r="C320" s="82"/>
    </row>
    <row r="321">
      <c r="C321" s="82"/>
    </row>
    <row r="322">
      <c r="C322" s="82"/>
    </row>
    <row r="323">
      <c r="C323" s="82"/>
    </row>
    <row r="324">
      <c r="C324" s="82"/>
    </row>
    <row r="325">
      <c r="C325" s="82"/>
    </row>
    <row r="326">
      <c r="C326" s="82"/>
    </row>
    <row r="327">
      <c r="C327" s="82"/>
    </row>
    <row r="328">
      <c r="C328" s="82"/>
    </row>
    <row r="329">
      <c r="C329" s="82"/>
    </row>
    <row r="330">
      <c r="C330" s="82"/>
    </row>
    <row r="331">
      <c r="C331" s="82"/>
    </row>
    <row r="332">
      <c r="C332" s="82"/>
    </row>
    <row r="333">
      <c r="C333" s="82"/>
    </row>
    <row r="334">
      <c r="C334" s="82"/>
    </row>
    <row r="335">
      <c r="C335" s="82"/>
    </row>
    <row r="336">
      <c r="C336" s="82"/>
    </row>
    <row r="337">
      <c r="C337" s="82"/>
    </row>
    <row r="338">
      <c r="C338" s="82"/>
    </row>
    <row r="339">
      <c r="C339" s="82"/>
    </row>
    <row r="340">
      <c r="C340" s="82"/>
    </row>
    <row r="341">
      <c r="C341" s="82"/>
    </row>
    <row r="342">
      <c r="C342" s="82"/>
    </row>
    <row r="343">
      <c r="C343" s="82"/>
    </row>
    <row r="344">
      <c r="C344" s="82"/>
    </row>
    <row r="345">
      <c r="C345" s="82"/>
    </row>
    <row r="346">
      <c r="C346" s="82"/>
    </row>
    <row r="347">
      <c r="C347" s="82"/>
    </row>
    <row r="348">
      <c r="C348" s="82"/>
    </row>
    <row r="349">
      <c r="C349" s="82"/>
    </row>
    <row r="350">
      <c r="C350" s="82"/>
    </row>
    <row r="351">
      <c r="C351" s="82"/>
    </row>
    <row r="352">
      <c r="C352" s="82"/>
    </row>
    <row r="353">
      <c r="C353" s="82"/>
    </row>
    <row r="354">
      <c r="C354" s="82"/>
    </row>
    <row r="355">
      <c r="C355" s="82"/>
    </row>
    <row r="356">
      <c r="C356" s="82"/>
    </row>
    <row r="357">
      <c r="C357" s="82"/>
    </row>
    <row r="358">
      <c r="C358" s="82"/>
    </row>
    <row r="359">
      <c r="C359" s="82"/>
    </row>
    <row r="360">
      <c r="C360" s="82"/>
    </row>
    <row r="361">
      <c r="C361" s="82"/>
    </row>
    <row r="362">
      <c r="C362" s="82"/>
    </row>
    <row r="363">
      <c r="C363" s="82"/>
    </row>
    <row r="364">
      <c r="C364" s="82"/>
    </row>
    <row r="365">
      <c r="C365" s="82"/>
    </row>
    <row r="366">
      <c r="C366" s="82"/>
    </row>
    <row r="367">
      <c r="C367" s="82"/>
    </row>
    <row r="368">
      <c r="C368" s="82"/>
    </row>
    <row r="369">
      <c r="C369" s="82"/>
    </row>
    <row r="370">
      <c r="C370" s="82"/>
    </row>
    <row r="371">
      <c r="C371" s="82"/>
    </row>
    <row r="372">
      <c r="C372" s="82"/>
    </row>
    <row r="373">
      <c r="C373" s="82"/>
    </row>
    <row r="374">
      <c r="C374" s="82"/>
    </row>
    <row r="375">
      <c r="C375" s="82"/>
    </row>
    <row r="376">
      <c r="C376" s="82"/>
    </row>
    <row r="377">
      <c r="C377" s="82"/>
    </row>
    <row r="378">
      <c r="C378" s="82"/>
    </row>
    <row r="379">
      <c r="C379" s="82"/>
    </row>
    <row r="380">
      <c r="C380" s="82"/>
    </row>
    <row r="381">
      <c r="C381" s="82"/>
    </row>
    <row r="382">
      <c r="C382" s="82"/>
    </row>
    <row r="383">
      <c r="C383" s="82"/>
    </row>
    <row r="384">
      <c r="C384" s="82"/>
    </row>
    <row r="385">
      <c r="C385" s="82"/>
    </row>
    <row r="386">
      <c r="C386" s="82"/>
    </row>
    <row r="387">
      <c r="C387" s="82"/>
    </row>
    <row r="388">
      <c r="C388" s="82"/>
    </row>
    <row r="389">
      <c r="C389" s="82"/>
    </row>
    <row r="390">
      <c r="C390" s="82"/>
    </row>
    <row r="391">
      <c r="C391" s="82"/>
    </row>
    <row r="392">
      <c r="C392" s="82"/>
    </row>
    <row r="393">
      <c r="C393" s="82"/>
    </row>
    <row r="394">
      <c r="C394" s="82"/>
    </row>
    <row r="395">
      <c r="C395" s="82"/>
    </row>
    <row r="396">
      <c r="C396" s="82"/>
    </row>
    <row r="397">
      <c r="C397" s="82"/>
    </row>
    <row r="398">
      <c r="C398" s="82"/>
    </row>
    <row r="399">
      <c r="C399" s="82"/>
    </row>
    <row r="400">
      <c r="C400" s="82"/>
    </row>
    <row r="401">
      <c r="C401" s="82"/>
    </row>
    <row r="402">
      <c r="C402" s="82"/>
    </row>
    <row r="403">
      <c r="C403" s="82"/>
    </row>
    <row r="404">
      <c r="C404" s="82"/>
    </row>
    <row r="405">
      <c r="C405" s="82"/>
    </row>
    <row r="406">
      <c r="C406" s="82"/>
    </row>
    <row r="407">
      <c r="C407" s="82"/>
    </row>
    <row r="408">
      <c r="C408" s="82"/>
    </row>
    <row r="409">
      <c r="C409" s="82"/>
    </row>
    <row r="410">
      <c r="C410" s="82"/>
    </row>
    <row r="411">
      <c r="C411" s="82"/>
    </row>
    <row r="412">
      <c r="C412" s="82"/>
    </row>
    <row r="413">
      <c r="C413" s="82"/>
    </row>
    <row r="414">
      <c r="C414" s="82"/>
    </row>
    <row r="415">
      <c r="C415" s="82"/>
    </row>
    <row r="416">
      <c r="C416" s="82"/>
    </row>
    <row r="417">
      <c r="C417" s="82"/>
    </row>
    <row r="418">
      <c r="C418" s="82"/>
    </row>
    <row r="419">
      <c r="C419" s="82"/>
    </row>
    <row r="420">
      <c r="C420" s="82"/>
    </row>
    <row r="421">
      <c r="C421" s="82"/>
    </row>
    <row r="422">
      <c r="C422" s="82"/>
    </row>
    <row r="423">
      <c r="C423" s="82"/>
    </row>
    <row r="424">
      <c r="C424" s="82"/>
    </row>
    <row r="425">
      <c r="C425" s="82"/>
    </row>
    <row r="426">
      <c r="C426" s="82"/>
    </row>
    <row r="427">
      <c r="C427" s="82"/>
    </row>
    <row r="428">
      <c r="C428" s="82"/>
    </row>
    <row r="429">
      <c r="C429" s="82"/>
    </row>
    <row r="430">
      <c r="C430" s="82"/>
    </row>
    <row r="431">
      <c r="C431" s="82"/>
    </row>
    <row r="432">
      <c r="C432" s="82"/>
    </row>
    <row r="433">
      <c r="C433" s="82"/>
    </row>
    <row r="434">
      <c r="C434" s="82"/>
    </row>
    <row r="435">
      <c r="C435" s="82"/>
    </row>
    <row r="436">
      <c r="C436" s="82"/>
    </row>
    <row r="437">
      <c r="C437" s="82"/>
    </row>
    <row r="438">
      <c r="C438" s="82"/>
    </row>
    <row r="439">
      <c r="C439" s="82"/>
    </row>
    <row r="440">
      <c r="C440" s="82"/>
    </row>
    <row r="441">
      <c r="C441" s="82"/>
    </row>
    <row r="442">
      <c r="C442" s="82"/>
    </row>
    <row r="443">
      <c r="C443" s="82"/>
    </row>
    <row r="444">
      <c r="C444" s="82"/>
    </row>
    <row r="445">
      <c r="C445" s="82"/>
    </row>
    <row r="446">
      <c r="C446" s="82"/>
    </row>
    <row r="447">
      <c r="C447" s="82"/>
    </row>
    <row r="448">
      <c r="C448" s="82"/>
    </row>
    <row r="449">
      <c r="C449" s="82"/>
    </row>
    <row r="450">
      <c r="C450" s="82"/>
    </row>
    <row r="451">
      <c r="C451" s="82"/>
    </row>
    <row r="452">
      <c r="C452" s="82"/>
    </row>
    <row r="453">
      <c r="C453" s="82"/>
    </row>
    <row r="454">
      <c r="C454" s="82"/>
    </row>
    <row r="455">
      <c r="C455" s="82"/>
    </row>
    <row r="456">
      <c r="C456" s="82"/>
    </row>
    <row r="457">
      <c r="C457" s="82"/>
    </row>
    <row r="458">
      <c r="C458" s="82"/>
    </row>
    <row r="459">
      <c r="C459" s="82"/>
    </row>
    <row r="460">
      <c r="C460" s="82"/>
    </row>
    <row r="461">
      <c r="C461" s="82"/>
    </row>
    <row r="462">
      <c r="C462" s="82"/>
    </row>
    <row r="463">
      <c r="C463" s="82"/>
    </row>
    <row r="464">
      <c r="C464" s="82"/>
    </row>
    <row r="465">
      <c r="C465" s="82"/>
    </row>
    <row r="466">
      <c r="C466" s="82"/>
    </row>
    <row r="467">
      <c r="C467" s="82"/>
    </row>
    <row r="468">
      <c r="C468" s="82"/>
    </row>
    <row r="469">
      <c r="C469" s="82"/>
    </row>
    <row r="470">
      <c r="C470" s="82"/>
    </row>
    <row r="471">
      <c r="C471" s="82"/>
    </row>
    <row r="472">
      <c r="C472" s="82"/>
    </row>
    <row r="473">
      <c r="C473" s="82"/>
    </row>
    <row r="474">
      <c r="C474" s="82"/>
    </row>
    <row r="475">
      <c r="C475" s="82"/>
    </row>
    <row r="476">
      <c r="C476" s="82"/>
    </row>
    <row r="477">
      <c r="C477" s="82"/>
    </row>
    <row r="478">
      <c r="C478" s="82"/>
    </row>
    <row r="479">
      <c r="C479" s="82"/>
    </row>
    <row r="480">
      <c r="C480" s="82"/>
    </row>
    <row r="481">
      <c r="C481" s="82"/>
    </row>
    <row r="482">
      <c r="C482" s="82"/>
    </row>
    <row r="483">
      <c r="C483" s="82"/>
    </row>
    <row r="484">
      <c r="C484" s="82"/>
    </row>
    <row r="485">
      <c r="C485" s="82"/>
    </row>
    <row r="486">
      <c r="C486" s="82"/>
    </row>
    <row r="487">
      <c r="C487" s="82"/>
    </row>
    <row r="488">
      <c r="C488" s="82"/>
    </row>
    <row r="489">
      <c r="C489" s="82"/>
    </row>
    <row r="490">
      <c r="C490" s="82"/>
    </row>
    <row r="491">
      <c r="C491" s="82"/>
    </row>
    <row r="492">
      <c r="C492" s="82"/>
    </row>
    <row r="493">
      <c r="C493" s="82"/>
    </row>
    <row r="494">
      <c r="C494" s="82"/>
    </row>
    <row r="495">
      <c r="C495" s="82"/>
    </row>
    <row r="496">
      <c r="C496" s="82"/>
    </row>
    <row r="497">
      <c r="C497" s="82"/>
    </row>
    <row r="498">
      <c r="C498" s="82"/>
    </row>
    <row r="499">
      <c r="C499" s="82"/>
    </row>
    <row r="500">
      <c r="C500" s="82"/>
    </row>
    <row r="501">
      <c r="C501" s="82"/>
    </row>
    <row r="502">
      <c r="C502" s="82"/>
    </row>
    <row r="503">
      <c r="C503" s="82"/>
    </row>
    <row r="504">
      <c r="C504" s="82"/>
    </row>
    <row r="505">
      <c r="C505" s="82"/>
    </row>
    <row r="506">
      <c r="C506" s="82"/>
    </row>
    <row r="507">
      <c r="C507" s="82"/>
    </row>
    <row r="508">
      <c r="C508" s="82"/>
    </row>
    <row r="509">
      <c r="C509" s="82"/>
    </row>
    <row r="510">
      <c r="C510" s="82"/>
    </row>
    <row r="511">
      <c r="C511" s="82"/>
    </row>
    <row r="512">
      <c r="C512" s="82"/>
    </row>
    <row r="513">
      <c r="C513" s="82"/>
    </row>
    <row r="514">
      <c r="C514" s="82"/>
    </row>
    <row r="515">
      <c r="C515" s="82"/>
    </row>
    <row r="516">
      <c r="C516" s="82"/>
    </row>
    <row r="517">
      <c r="C517" s="82"/>
    </row>
    <row r="518">
      <c r="C518" s="82"/>
    </row>
    <row r="519">
      <c r="C519" s="82"/>
    </row>
    <row r="520">
      <c r="C520" s="82"/>
    </row>
    <row r="521">
      <c r="C521" s="82"/>
    </row>
    <row r="522">
      <c r="C522" s="82"/>
    </row>
    <row r="523">
      <c r="C523" s="82"/>
    </row>
    <row r="524">
      <c r="C524" s="82"/>
    </row>
    <row r="525">
      <c r="C525" s="82"/>
    </row>
    <row r="526">
      <c r="C526" s="82"/>
    </row>
    <row r="527">
      <c r="C527" s="82"/>
    </row>
    <row r="528">
      <c r="C528" s="82"/>
    </row>
    <row r="529">
      <c r="C529" s="82"/>
    </row>
    <row r="530">
      <c r="C530" s="82"/>
    </row>
    <row r="531">
      <c r="C531" s="82"/>
    </row>
    <row r="532">
      <c r="C532" s="82"/>
    </row>
    <row r="533">
      <c r="C533" s="82"/>
    </row>
    <row r="534">
      <c r="C534" s="82"/>
    </row>
    <row r="535">
      <c r="C535" s="82"/>
    </row>
    <row r="536">
      <c r="C536" s="82"/>
    </row>
    <row r="537">
      <c r="C537" s="82"/>
    </row>
    <row r="538">
      <c r="C538" s="82"/>
    </row>
    <row r="539">
      <c r="C539" s="82"/>
    </row>
    <row r="540">
      <c r="C540" s="82"/>
    </row>
    <row r="541">
      <c r="C541" s="82"/>
    </row>
    <row r="542">
      <c r="C542" s="82"/>
    </row>
    <row r="543">
      <c r="C543" s="82"/>
    </row>
    <row r="544">
      <c r="C544" s="82"/>
    </row>
    <row r="545">
      <c r="C545" s="82"/>
    </row>
    <row r="546">
      <c r="C546" s="82"/>
    </row>
    <row r="547">
      <c r="C547" s="82"/>
    </row>
    <row r="548">
      <c r="C548" s="82"/>
    </row>
    <row r="549">
      <c r="C549" s="82"/>
    </row>
    <row r="550">
      <c r="C550" s="82"/>
    </row>
    <row r="551">
      <c r="C551" s="82"/>
    </row>
    <row r="552">
      <c r="C552" s="82"/>
    </row>
    <row r="553">
      <c r="C553" s="82"/>
    </row>
    <row r="554">
      <c r="C554" s="82"/>
    </row>
    <row r="555">
      <c r="C555" s="82"/>
    </row>
    <row r="556">
      <c r="C556" s="82"/>
    </row>
    <row r="557">
      <c r="C557" s="82"/>
    </row>
    <row r="558">
      <c r="C558" s="82"/>
    </row>
    <row r="559">
      <c r="C559" s="82"/>
    </row>
    <row r="560">
      <c r="C560" s="82"/>
    </row>
    <row r="561">
      <c r="C561" s="82"/>
    </row>
    <row r="562">
      <c r="C562" s="82"/>
    </row>
    <row r="563">
      <c r="C563" s="82"/>
    </row>
    <row r="564">
      <c r="C564" s="82"/>
    </row>
    <row r="565">
      <c r="C565" s="82"/>
    </row>
    <row r="566">
      <c r="C566" s="82"/>
    </row>
    <row r="567">
      <c r="C567" s="82"/>
    </row>
    <row r="568">
      <c r="C568" s="82"/>
    </row>
    <row r="569">
      <c r="C569" s="82"/>
    </row>
    <row r="570">
      <c r="C570" s="82"/>
    </row>
    <row r="571">
      <c r="C571" s="82"/>
    </row>
    <row r="572">
      <c r="C572" s="82"/>
    </row>
    <row r="573">
      <c r="C573" s="82"/>
    </row>
    <row r="574">
      <c r="C574" s="82"/>
    </row>
    <row r="575">
      <c r="C575" s="82"/>
    </row>
    <row r="576">
      <c r="C576" s="82"/>
    </row>
    <row r="577">
      <c r="C577" s="82"/>
    </row>
    <row r="578">
      <c r="C578" s="82"/>
    </row>
    <row r="579">
      <c r="C579" s="82"/>
    </row>
    <row r="580">
      <c r="C580" s="82"/>
    </row>
    <row r="581">
      <c r="C581" s="82"/>
    </row>
    <row r="582">
      <c r="C582" s="82"/>
    </row>
    <row r="583">
      <c r="C583" s="82"/>
    </row>
    <row r="584">
      <c r="C584" s="82"/>
    </row>
    <row r="585">
      <c r="C585" s="82"/>
    </row>
    <row r="586">
      <c r="C586" s="82"/>
    </row>
    <row r="587">
      <c r="C587" s="82"/>
    </row>
    <row r="588">
      <c r="C588" s="82"/>
    </row>
    <row r="589">
      <c r="C589" s="82"/>
    </row>
    <row r="590">
      <c r="C590" s="82"/>
    </row>
    <row r="591">
      <c r="C591" s="82"/>
    </row>
    <row r="592">
      <c r="C592" s="82"/>
    </row>
    <row r="593">
      <c r="C593" s="82"/>
    </row>
    <row r="594">
      <c r="C594" s="82"/>
    </row>
    <row r="595">
      <c r="C595" s="82"/>
    </row>
    <row r="596">
      <c r="C596" s="82"/>
    </row>
    <row r="597">
      <c r="C597" s="82"/>
    </row>
    <row r="598">
      <c r="C598" s="82"/>
    </row>
    <row r="599">
      <c r="C599" s="82"/>
    </row>
    <row r="600">
      <c r="C600" s="82"/>
    </row>
    <row r="601">
      <c r="C601" s="82"/>
    </row>
    <row r="602">
      <c r="C602" s="82"/>
    </row>
    <row r="603">
      <c r="C603" s="82"/>
    </row>
    <row r="604">
      <c r="C604" s="82"/>
    </row>
    <row r="605">
      <c r="C605" s="82"/>
    </row>
    <row r="606">
      <c r="C606" s="82"/>
    </row>
    <row r="607">
      <c r="C607" s="82"/>
    </row>
    <row r="608">
      <c r="C608" s="82"/>
    </row>
    <row r="609">
      <c r="C609" s="82"/>
    </row>
    <row r="610">
      <c r="C610" s="82"/>
    </row>
    <row r="611">
      <c r="C611" s="82"/>
    </row>
    <row r="612">
      <c r="C612" s="82"/>
    </row>
    <row r="613">
      <c r="C613" s="82"/>
    </row>
    <row r="614">
      <c r="C614" s="82"/>
    </row>
    <row r="615">
      <c r="C615" s="82"/>
    </row>
    <row r="616">
      <c r="C616" s="82"/>
    </row>
    <row r="617">
      <c r="C617" s="82"/>
    </row>
    <row r="618">
      <c r="C618" s="82"/>
    </row>
    <row r="619">
      <c r="C619" s="82"/>
    </row>
    <row r="620">
      <c r="C620" s="82"/>
    </row>
    <row r="621">
      <c r="C621" s="82"/>
    </row>
    <row r="622">
      <c r="C622" s="82"/>
    </row>
    <row r="623">
      <c r="C623" s="82"/>
    </row>
    <row r="624">
      <c r="C624" s="82"/>
    </row>
    <row r="625">
      <c r="C625" s="82"/>
    </row>
    <row r="626">
      <c r="C626" s="82"/>
    </row>
    <row r="627">
      <c r="C627" s="82"/>
    </row>
    <row r="628">
      <c r="C628" s="82"/>
    </row>
    <row r="629">
      <c r="C629" s="82"/>
    </row>
    <row r="630">
      <c r="C630" s="82"/>
    </row>
    <row r="631">
      <c r="C631" s="82"/>
    </row>
    <row r="632">
      <c r="C632" s="82"/>
    </row>
    <row r="633">
      <c r="C633" s="82"/>
    </row>
    <row r="634">
      <c r="C634" s="82"/>
    </row>
    <row r="635">
      <c r="C635" s="82"/>
    </row>
    <row r="636">
      <c r="C636" s="82"/>
    </row>
    <row r="637">
      <c r="C637" s="82"/>
    </row>
    <row r="638">
      <c r="C638" s="82"/>
    </row>
    <row r="639">
      <c r="C639" s="82"/>
    </row>
    <row r="640">
      <c r="C640" s="82"/>
    </row>
    <row r="641">
      <c r="C641" s="82"/>
    </row>
    <row r="642">
      <c r="C642" s="82"/>
    </row>
    <row r="643">
      <c r="C643" s="82"/>
    </row>
    <row r="644">
      <c r="C644" s="82"/>
    </row>
    <row r="645">
      <c r="C645" s="82"/>
    </row>
    <row r="646">
      <c r="C646" s="82"/>
    </row>
    <row r="647">
      <c r="C647" s="82"/>
    </row>
    <row r="648">
      <c r="C648" s="82"/>
    </row>
    <row r="649">
      <c r="C649" s="82"/>
    </row>
    <row r="650">
      <c r="C650" s="82"/>
    </row>
    <row r="651">
      <c r="C651" s="82"/>
    </row>
    <row r="652">
      <c r="C652" s="82"/>
    </row>
    <row r="653">
      <c r="C653" s="82"/>
    </row>
    <row r="654">
      <c r="C654" s="82"/>
    </row>
    <row r="655">
      <c r="C655" s="82"/>
    </row>
    <row r="656">
      <c r="C656" s="82"/>
    </row>
    <row r="657">
      <c r="C657" s="82"/>
    </row>
    <row r="658">
      <c r="C658" s="82"/>
    </row>
    <row r="659">
      <c r="C659" s="82"/>
    </row>
    <row r="660">
      <c r="C660" s="82"/>
    </row>
    <row r="661">
      <c r="C661" s="82"/>
    </row>
    <row r="662">
      <c r="C662" s="82"/>
    </row>
    <row r="663">
      <c r="C663" s="82"/>
    </row>
    <row r="664">
      <c r="C664" s="82"/>
    </row>
    <row r="665">
      <c r="C665" s="82"/>
    </row>
    <row r="666">
      <c r="C666" s="82"/>
    </row>
    <row r="667">
      <c r="C667" s="82"/>
    </row>
    <row r="668">
      <c r="C668" s="82"/>
    </row>
    <row r="669">
      <c r="C669" s="82"/>
    </row>
    <row r="670">
      <c r="C670" s="82"/>
    </row>
    <row r="671">
      <c r="C671" s="82"/>
    </row>
    <row r="672">
      <c r="C672" s="82"/>
    </row>
    <row r="673">
      <c r="C673" s="82"/>
    </row>
    <row r="674">
      <c r="C674" s="82"/>
    </row>
    <row r="675">
      <c r="C675" s="82"/>
    </row>
    <row r="676">
      <c r="C676" s="82"/>
    </row>
    <row r="677">
      <c r="C677" s="82"/>
    </row>
    <row r="678">
      <c r="C678" s="82"/>
    </row>
    <row r="679">
      <c r="C679" s="82"/>
    </row>
    <row r="680">
      <c r="C680" s="82"/>
    </row>
    <row r="681">
      <c r="C681" s="82"/>
    </row>
    <row r="682">
      <c r="C682" s="82"/>
    </row>
    <row r="683">
      <c r="C683" s="82"/>
    </row>
    <row r="684">
      <c r="C684" s="82"/>
    </row>
    <row r="685">
      <c r="C685" s="82"/>
    </row>
    <row r="686">
      <c r="C686" s="82"/>
    </row>
    <row r="687">
      <c r="C687" s="82"/>
    </row>
    <row r="688">
      <c r="C688" s="82"/>
    </row>
    <row r="689">
      <c r="C689" s="82"/>
    </row>
    <row r="690">
      <c r="C690" s="82"/>
    </row>
    <row r="691">
      <c r="C691" s="82"/>
    </row>
    <row r="692">
      <c r="C692" s="82"/>
    </row>
    <row r="693">
      <c r="C693" s="82"/>
    </row>
    <row r="694">
      <c r="C694" s="82"/>
    </row>
    <row r="695">
      <c r="C695" s="82"/>
    </row>
    <row r="696">
      <c r="C696" s="82"/>
    </row>
    <row r="697">
      <c r="C697" s="82"/>
    </row>
    <row r="698">
      <c r="C698" s="82"/>
    </row>
    <row r="699">
      <c r="C699" s="82"/>
    </row>
    <row r="700">
      <c r="C700" s="82"/>
    </row>
    <row r="701">
      <c r="C701" s="82"/>
    </row>
    <row r="702">
      <c r="C702" s="82"/>
    </row>
    <row r="703">
      <c r="C703" s="82"/>
    </row>
    <row r="704">
      <c r="C704" s="82"/>
    </row>
    <row r="705">
      <c r="C705" s="82"/>
    </row>
    <row r="706">
      <c r="C706" s="82"/>
    </row>
    <row r="707">
      <c r="C707" s="82"/>
    </row>
    <row r="708">
      <c r="C708" s="82"/>
    </row>
    <row r="709">
      <c r="C709" s="82"/>
    </row>
    <row r="710">
      <c r="C710" s="82"/>
    </row>
    <row r="711">
      <c r="C711" s="82"/>
    </row>
    <row r="712">
      <c r="C712" s="82"/>
    </row>
    <row r="713">
      <c r="C713" s="82"/>
    </row>
    <row r="714">
      <c r="C714" s="82"/>
    </row>
    <row r="715">
      <c r="C715" s="82"/>
    </row>
    <row r="716">
      <c r="C716" s="82"/>
    </row>
    <row r="717">
      <c r="C717" s="82"/>
    </row>
    <row r="718">
      <c r="C718" s="82"/>
    </row>
    <row r="719">
      <c r="C719" s="82"/>
    </row>
    <row r="720">
      <c r="C720" s="82"/>
    </row>
    <row r="721">
      <c r="C721" s="82"/>
    </row>
    <row r="722">
      <c r="C722" s="82"/>
    </row>
    <row r="723">
      <c r="C723" s="82"/>
    </row>
    <row r="724">
      <c r="C724" s="82"/>
    </row>
    <row r="725">
      <c r="C725" s="82"/>
    </row>
    <row r="726">
      <c r="C726" s="82"/>
    </row>
    <row r="727">
      <c r="C727" s="82"/>
    </row>
    <row r="728">
      <c r="C728" s="82"/>
    </row>
    <row r="729">
      <c r="C729" s="82"/>
    </row>
    <row r="730">
      <c r="C730" s="82"/>
    </row>
    <row r="731">
      <c r="C731" s="82"/>
    </row>
    <row r="732">
      <c r="C732" s="82"/>
    </row>
    <row r="733">
      <c r="C733" s="82"/>
    </row>
    <row r="734">
      <c r="C734" s="82"/>
    </row>
    <row r="735">
      <c r="C735" s="82"/>
    </row>
    <row r="736">
      <c r="C736" s="82"/>
    </row>
    <row r="737">
      <c r="C737" s="82"/>
    </row>
    <row r="738">
      <c r="C738" s="82"/>
    </row>
    <row r="739">
      <c r="C739" s="82"/>
    </row>
    <row r="740">
      <c r="C740" s="82"/>
    </row>
    <row r="741">
      <c r="C741" s="82"/>
    </row>
    <row r="742">
      <c r="C742" s="82"/>
    </row>
    <row r="743">
      <c r="C743" s="82"/>
    </row>
    <row r="744">
      <c r="C744" s="82"/>
    </row>
    <row r="745">
      <c r="C745" s="82"/>
    </row>
    <row r="746">
      <c r="C746" s="82"/>
    </row>
    <row r="747">
      <c r="C747" s="82"/>
    </row>
    <row r="748">
      <c r="C748" s="82"/>
    </row>
    <row r="749">
      <c r="C749" s="82"/>
    </row>
    <row r="750">
      <c r="C750" s="82"/>
    </row>
    <row r="751">
      <c r="C751" s="82"/>
    </row>
    <row r="752">
      <c r="C752" s="82"/>
    </row>
    <row r="753">
      <c r="C753" s="82"/>
    </row>
    <row r="754">
      <c r="C754" s="82"/>
    </row>
    <row r="755">
      <c r="C755" s="82"/>
    </row>
    <row r="756">
      <c r="C756" s="82"/>
    </row>
    <row r="757">
      <c r="C757" s="82"/>
    </row>
    <row r="758">
      <c r="C758" s="82"/>
    </row>
    <row r="759">
      <c r="C759" s="82"/>
    </row>
    <row r="760">
      <c r="C760" s="82"/>
    </row>
    <row r="761">
      <c r="C761" s="82"/>
    </row>
    <row r="762">
      <c r="C762" s="82"/>
    </row>
    <row r="763">
      <c r="C763" s="82"/>
    </row>
    <row r="764">
      <c r="C764" s="82"/>
    </row>
    <row r="765">
      <c r="C765" s="82"/>
    </row>
    <row r="766">
      <c r="C766" s="82"/>
    </row>
    <row r="767">
      <c r="C767" s="82"/>
    </row>
    <row r="768">
      <c r="C768" s="82"/>
    </row>
    <row r="769">
      <c r="C769" s="82"/>
    </row>
    <row r="770">
      <c r="C770" s="82"/>
    </row>
    <row r="771">
      <c r="C771" s="82"/>
    </row>
    <row r="772">
      <c r="C772" s="82"/>
    </row>
    <row r="773">
      <c r="C773" s="82"/>
    </row>
    <row r="774">
      <c r="C774" s="82"/>
    </row>
    <row r="775">
      <c r="C775" s="82"/>
    </row>
    <row r="776">
      <c r="C776" s="82"/>
    </row>
    <row r="777">
      <c r="C777" s="82"/>
    </row>
    <row r="778">
      <c r="C778" s="82"/>
    </row>
    <row r="779">
      <c r="C779" s="82"/>
    </row>
    <row r="780">
      <c r="C780" s="82"/>
    </row>
    <row r="781">
      <c r="C781" s="82"/>
    </row>
    <row r="782">
      <c r="C782" s="82"/>
    </row>
    <row r="783">
      <c r="C783" s="82"/>
    </row>
    <row r="784">
      <c r="C784" s="82"/>
    </row>
    <row r="785">
      <c r="C785" s="82"/>
    </row>
    <row r="786">
      <c r="C786" s="82"/>
    </row>
    <row r="787">
      <c r="C787" s="82"/>
    </row>
    <row r="788">
      <c r="C788" s="82"/>
    </row>
    <row r="789">
      <c r="C789" s="82"/>
    </row>
    <row r="790">
      <c r="C790" s="82"/>
    </row>
    <row r="791">
      <c r="C791" s="82"/>
    </row>
    <row r="792">
      <c r="C792" s="82"/>
    </row>
    <row r="793">
      <c r="C793" s="82"/>
    </row>
    <row r="794">
      <c r="C794" s="82"/>
    </row>
    <row r="795">
      <c r="C795" s="82"/>
    </row>
    <row r="796">
      <c r="C796" s="82"/>
    </row>
    <row r="797">
      <c r="C797" s="82"/>
    </row>
    <row r="798">
      <c r="C798" s="82"/>
    </row>
    <row r="799">
      <c r="C799" s="82"/>
    </row>
    <row r="800">
      <c r="C800" s="82"/>
    </row>
    <row r="801">
      <c r="C801" s="82"/>
    </row>
    <row r="802">
      <c r="C802" s="82"/>
    </row>
    <row r="803">
      <c r="C803" s="82"/>
    </row>
    <row r="804">
      <c r="C804" s="82"/>
    </row>
    <row r="805">
      <c r="C805" s="82"/>
    </row>
    <row r="806">
      <c r="C806" s="82"/>
    </row>
    <row r="807">
      <c r="C807" s="82"/>
    </row>
    <row r="808">
      <c r="C808" s="82"/>
    </row>
    <row r="809">
      <c r="C809" s="82"/>
    </row>
    <row r="810">
      <c r="C810" s="82"/>
    </row>
    <row r="811">
      <c r="C811" s="82"/>
    </row>
    <row r="812">
      <c r="C812" s="82"/>
    </row>
    <row r="813">
      <c r="C813" s="82"/>
    </row>
    <row r="814">
      <c r="C814" s="82"/>
    </row>
    <row r="815">
      <c r="C815" s="82"/>
    </row>
    <row r="816">
      <c r="C816" s="82"/>
    </row>
    <row r="817">
      <c r="C817" s="82"/>
    </row>
    <row r="818">
      <c r="C818" s="82"/>
    </row>
    <row r="819">
      <c r="C819" s="82"/>
    </row>
    <row r="820">
      <c r="C820" s="82"/>
    </row>
    <row r="821">
      <c r="C821" s="82"/>
    </row>
    <row r="822">
      <c r="C822" s="82"/>
    </row>
    <row r="823">
      <c r="C823" s="82"/>
    </row>
    <row r="824">
      <c r="C824" s="82"/>
    </row>
    <row r="825">
      <c r="C825" s="82"/>
    </row>
    <row r="826">
      <c r="C826" s="82"/>
    </row>
    <row r="827">
      <c r="C827" s="82"/>
    </row>
    <row r="828">
      <c r="C828" s="82"/>
    </row>
    <row r="829">
      <c r="C829" s="82"/>
    </row>
    <row r="830">
      <c r="C830" s="82"/>
    </row>
    <row r="831">
      <c r="C831" s="82"/>
    </row>
    <row r="832">
      <c r="C832" s="82"/>
    </row>
    <row r="833">
      <c r="C833" s="82"/>
    </row>
    <row r="834">
      <c r="C834" s="82"/>
    </row>
    <row r="835">
      <c r="C835" s="82"/>
    </row>
    <row r="836">
      <c r="C836" s="82"/>
    </row>
    <row r="837">
      <c r="C837" s="82"/>
    </row>
    <row r="838">
      <c r="C838" s="82"/>
    </row>
    <row r="839">
      <c r="C839" s="82"/>
    </row>
    <row r="840">
      <c r="C840" s="82"/>
    </row>
    <row r="841">
      <c r="C841" s="82"/>
    </row>
    <row r="842">
      <c r="C842" s="82"/>
    </row>
    <row r="843">
      <c r="C843" s="82"/>
    </row>
    <row r="844">
      <c r="C844" s="82"/>
    </row>
    <row r="845">
      <c r="C845" s="82"/>
    </row>
    <row r="846">
      <c r="C846" s="82"/>
    </row>
    <row r="847">
      <c r="C847" s="82"/>
    </row>
    <row r="848">
      <c r="C848" s="82"/>
    </row>
    <row r="849">
      <c r="C849" s="82"/>
    </row>
    <row r="850">
      <c r="C850" s="82"/>
    </row>
    <row r="851">
      <c r="C851" s="82"/>
    </row>
    <row r="852">
      <c r="C852" s="82"/>
    </row>
    <row r="853">
      <c r="C853" s="82"/>
    </row>
    <row r="854">
      <c r="C854" s="82"/>
    </row>
    <row r="855">
      <c r="C855" s="82"/>
    </row>
    <row r="856">
      <c r="C856" s="82"/>
    </row>
    <row r="857">
      <c r="C857" s="82"/>
    </row>
    <row r="858">
      <c r="C858" s="82"/>
    </row>
    <row r="859">
      <c r="C859" s="82"/>
    </row>
    <row r="860">
      <c r="C860" s="82"/>
    </row>
    <row r="861">
      <c r="C861" s="82"/>
    </row>
    <row r="862">
      <c r="C862" s="82"/>
    </row>
    <row r="863">
      <c r="C863" s="82"/>
    </row>
    <row r="864">
      <c r="C864" s="82"/>
    </row>
    <row r="865">
      <c r="C865" s="82"/>
    </row>
    <row r="866">
      <c r="C866" s="82"/>
    </row>
    <row r="867">
      <c r="C867" s="82"/>
    </row>
    <row r="868">
      <c r="C868" s="82"/>
    </row>
    <row r="869">
      <c r="C869" s="82"/>
    </row>
    <row r="870">
      <c r="C870" s="82"/>
    </row>
    <row r="871">
      <c r="C871" s="82"/>
    </row>
    <row r="872">
      <c r="C872" s="82"/>
    </row>
    <row r="873">
      <c r="C873" s="82"/>
    </row>
    <row r="874">
      <c r="C874" s="82"/>
    </row>
    <row r="875">
      <c r="C875" s="82"/>
    </row>
    <row r="876">
      <c r="C876" s="82"/>
    </row>
    <row r="877">
      <c r="C877" s="82"/>
    </row>
    <row r="878">
      <c r="C878" s="82"/>
    </row>
    <row r="879">
      <c r="C879" s="82"/>
    </row>
    <row r="880">
      <c r="C880" s="82"/>
    </row>
    <row r="881">
      <c r="C881" s="82"/>
    </row>
    <row r="882">
      <c r="C882" s="82"/>
    </row>
    <row r="883">
      <c r="C883" s="82"/>
    </row>
    <row r="884">
      <c r="C884" s="82"/>
    </row>
    <row r="885">
      <c r="C885" s="82"/>
    </row>
    <row r="886">
      <c r="C886" s="82"/>
    </row>
    <row r="887">
      <c r="C887" s="82"/>
    </row>
    <row r="888">
      <c r="C888" s="82"/>
    </row>
    <row r="889">
      <c r="C889" s="82"/>
    </row>
    <row r="890">
      <c r="C890" s="82"/>
    </row>
    <row r="891">
      <c r="C891" s="82"/>
    </row>
    <row r="892">
      <c r="C892" s="82"/>
    </row>
    <row r="893">
      <c r="C893" s="82"/>
    </row>
    <row r="894">
      <c r="C894" s="82"/>
    </row>
    <row r="895">
      <c r="C895" s="82"/>
    </row>
    <row r="896">
      <c r="C896" s="82"/>
    </row>
    <row r="897">
      <c r="C897" s="82"/>
    </row>
    <row r="898">
      <c r="C898" s="82"/>
    </row>
    <row r="899">
      <c r="C899" s="82"/>
    </row>
    <row r="900">
      <c r="C900" s="82"/>
    </row>
    <row r="901">
      <c r="C901" s="82"/>
    </row>
    <row r="902">
      <c r="C902" s="82"/>
    </row>
    <row r="903">
      <c r="C903" s="82"/>
    </row>
    <row r="904">
      <c r="C904" s="82"/>
    </row>
    <row r="905">
      <c r="C905" s="82"/>
    </row>
    <row r="906">
      <c r="C906" s="82"/>
    </row>
    <row r="907">
      <c r="C907" s="82"/>
    </row>
    <row r="908">
      <c r="C908" s="82"/>
    </row>
    <row r="909">
      <c r="C909" s="82"/>
    </row>
    <row r="910">
      <c r="C910" s="82"/>
    </row>
    <row r="911">
      <c r="C911" s="82"/>
    </row>
    <row r="912">
      <c r="C912" s="82"/>
    </row>
    <row r="913">
      <c r="C913" s="82"/>
    </row>
    <row r="914">
      <c r="C914" s="82"/>
    </row>
    <row r="915">
      <c r="C915" s="82"/>
    </row>
    <row r="916">
      <c r="C916" s="82"/>
    </row>
    <row r="917">
      <c r="C917" s="82"/>
    </row>
    <row r="918">
      <c r="C918" s="82"/>
    </row>
    <row r="919">
      <c r="C919" s="82"/>
    </row>
    <row r="920">
      <c r="C920" s="82"/>
    </row>
    <row r="921">
      <c r="C921" s="82"/>
    </row>
    <row r="922">
      <c r="C922" s="82"/>
    </row>
    <row r="923">
      <c r="C923" s="82"/>
    </row>
    <row r="924">
      <c r="C924" s="82"/>
    </row>
    <row r="925">
      <c r="C925" s="82"/>
    </row>
    <row r="926">
      <c r="C926" s="82"/>
    </row>
    <row r="927">
      <c r="C927" s="82"/>
    </row>
    <row r="928">
      <c r="C928" s="82"/>
    </row>
    <row r="929">
      <c r="C929" s="82"/>
    </row>
    <row r="930">
      <c r="C930" s="82"/>
    </row>
    <row r="931">
      <c r="C931" s="82"/>
    </row>
    <row r="932">
      <c r="C932" s="82"/>
    </row>
    <row r="933">
      <c r="C933" s="82"/>
    </row>
    <row r="934">
      <c r="C934" s="82"/>
    </row>
    <row r="935">
      <c r="C935" s="82"/>
    </row>
    <row r="936">
      <c r="C936" s="82"/>
    </row>
    <row r="937">
      <c r="C937" s="82"/>
    </row>
    <row r="938">
      <c r="C938" s="82"/>
    </row>
    <row r="939">
      <c r="C939" s="82"/>
    </row>
    <row r="940">
      <c r="C940" s="82"/>
    </row>
    <row r="941">
      <c r="C941" s="82"/>
    </row>
    <row r="942">
      <c r="C942" s="82"/>
    </row>
    <row r="943">
      <c r="C943" s="82"/>
    </row>
    <row r="944">
      <c r="C944" s="82"/>
    </row>
    <row r="945">
      <c r="C945" s="82"/>
    </row>
    <row r="946">
      <c r="C946" s="82"/>
    </row>
    <row r="947">
      <c r="C947" s="82"/>
    </row>
    <row r="948">
      <c r="C948" s="82"/>
    </row>
    <row r="949">
      <c r="C949" s="82"/>
    </row>
    <row r="950">
      <c r="C950" s="82"/>
    </row>
    <row r="951">
      <c r="C951" s="82"/>
    </row>
    <row r="952">
      <c r="C952" s="82"/>
    </row>
    <row r="953">
      <c r="C953" s="82"/>
    </row>
    <row r="954">
      <c r="C954" s="82"/>
    </row>
    <row r="955">
      <c r="C955" s="82"/>
    </row>
    <row r="956">
      <c r="C956" s="82"/>
    </row>
    <row r="957">
      <c r="C957" s="82"/>
    </row>
    <row r="958">
      <c r="C958" s="82"/>
    </row>
    <row r="959">
      <c r="C959" s="82"/>
    </row>
    <row r="960">
      <c r="C960" s="82"/>
    </row>
    <row r="961">
      <c r="C961" s="82"/>
    </row>
    <row r="962">
      <c r="C962" s="82"/>
    </row>
    <row r="963">
      <c r="C963" s="82"/>
    </row>
    <row r="964">
      <c r="C964" s="82"/>
    </row>
    <row r="965">
      <c r="C965" s="82"/>
    </row>
    <row r="966">
      <c r="C966" s="82"/>
    </row>
    <row r="967">
      <c r="C967" s="82"/>
    </row>
    <row r="968">
      <c r="C968" s="82"/>
    </row>
    <row r="969">
      <c r="C969" s="82"/>
    </row>
    <row r="970">
      <c r="C970" s="82"/>
    </row>
    <row r="971">
      <c r="C971" s="82"/>
    </row>
    <row r="972">
      <c r="C972" s="82"/>
    </row>
    <row r="973">
      <c r="C973" s="82"/>
    </row>
    <row r="974">
      <c r="C974" s="82"/>
    </row>
    <row r="975">
      <c r="C975" s="82"/>
    </row>
    <row r="976">
      <c r="C976" s="82"/>
    </row>
    <row r="977">
      <c r="C977" s="82"/>
    </row>
    <row r="978">
      <c r="C978" s="82"/>
    </row>
    <row r="979">
      <c r="C979" s="82"/>
    </row>
    <row r="980">
      <c r="C980" s="82"/>
    </row>
    <row r="981">
      <c r="C981" s="82"/>
    </row>
    <row r="982">
      <c r="C982" s="82"/>
    </row>
    <row r="983">
      <c r="C983" s="82"/>
    </row>
    <row r="984">
      <c r="C984" s="82"/>
    </row>
    <row r="985">
      <c r="C985" s="82"/>
    </row>
    <row r="986">
      <c r="C986" s="82"/>
    </row>
    <row r="987">
      <c r="C987" s="82"/>
    </row>
    <row r="988">
      <c r="C988" s="82"/>
    </row>
    <row r="989">
      <c r="C989" s="82"/>
    </row>
    <row r="990">
      <c r="C990" s="82"/>
    </row>
    <row r="991">
      <c r="C991" s="82"/>
    </row>
    <row r="992">
      <c r="C992" s="82"/>
    </row>
    <row r="993">
      <c r="C993" s="82"/>
    </row>
    <row r="994">
      <c r="C994" s="82"/>
    </row>
    <row r="995">
      <c r="C995" s="82"/>
    </row>
    <row r="996">
      <c r="C996" s="82"/>
    </row>
    <row r="997">
      <c r="C997" s="82"/>
    </row>
    <row r="998">
      <c r="C998" s="82"/>
    </row>
    <row r="999">
      <c r="C999" s="82"/>
    </row>
    <row r="1000">
      <c r="C1000" s="82"/>
    </row>
    <row r="1001">
      <c r="C1001" s="82"/>
    </row>
    <row r="1002">
      <c r="C1002" s="82"/>
    </row>
  </sheetData>
  <conditionalFormatting sqref="B3:B100">
    <cfRule type="expression" dxfId="1" priority="1">
      <formula>$D3&gt;$D$1</formula>
    </cfRule>
  </conditionalFormatting>
  <conditionalFormatting sqref="A3:A150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9.25"/>
    <col customWidth="1" min="3" max="3" width="10.88"/>
    <col customWidth="1" min="4" max="4" width="14.25"/>
    <col customWidth="1" min="5" max="5" width="20.5"/>
  </cols>
  <sheetData>
    <row r="1">
      <c r="A1" s="1" t="s">
        <v>647</v>
      </c>
      <c r="B1" s="80">
        <f>COUNTIF(A3:A1002,"*L4*")</f>
        <v>1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4" t="s">
        <v>651</v>
      </c>
    </row>
    <row r="3">
      <c r="A3" s="4" t="str">
        <f>IFERROR(__xludf.DUMMYFUNCTION("QUERY(Master!A2:B1002, ""SELECT A, B WHERE A STARTS WITH 'L4-00A'"", 0)"),"L4-00A-05FAC")</f>
        <v>L4-00A-05FAC</v>
      </c>
      <c r="B3" s="4" t="str">
        <f>IFERROR(__xludf.DUMMYFUNCTION("""COMPUTED_VALUE"""),"Bagumbayan Health Center")</f>
        <v>Bagumbayan Health Center</v>
      </c>
      <c r="C3" s="4" t="str">
        <f t="array" ref="C3">XLOOKUP(A3,DB!C:C,DB!K:K)</f>
        <v>Blinking LOS</v>
      </c>
      <c r="D3" s="88">
        <f t="array" ref="D3">XLOOKUP(A3,DB!C:C,DB!B:B,"" )</f>
        <v>46181</v>
      </c>
      <c r="E3" s="82" t="str">
        <f t="array" ref="E3">XLOOKUP(A3,DB!C:C,DB!F:F,"" )</f>
        <v>14.652732, 120.949088</v>
      </c>
    </row>
    <row r="4">
      <c r="A4" s="4"/>
      <c r="B4" s="4"/>
      <c r="C4" s="4" t="str">
        <f t="array" ref="C4">XLOOKUP(A4,DB!C:C,DB!K:K)</f>
        <v>#N/A</v>
      </c>
      <c r="D4" s="88" t="str">
        <f t="array" ref="D4">XLOOKUP(A4,DB!C:C,DB!B:B,"" )</f>
        <v/>
      </c>
      <c r="E4" s="82" t="str">
        <f t="array" ref="E4">XLOOKUP(A4,DB!C:C,DB!F:F,"" )</f>
        <v/>
      </c>
    </row>
    <row r="5">
      <c r="A5" s="4"/>
      <c r="B5" s="4"/>
      <c r="C5" s="4" t="str">
        <f t="array" ref="C5">XLOOKUP(A5,DB!C:C,DB!K:K)</f>
        <v>#N/A</v>
      </c>
      <c r="D5" s="88" t="str">
        <f t="array" ref="D5">XLOOKUP(A5,DB!C:C,DB!B:B,"" )</f>
        <v/>
      </c>
      <c r="E5" s="82" t="str">
        <f t="array" ref="E5">XLOOKUP(A5,DB!C:C,DB!F:F,"" )</f>
        <v/>
      </c>
    </row>
    <row r="6">
      <c r="A6" s="4"/>
      <c r="B6" s="4"/>
      <c r="C6" s="4" t="str">
        <f t="array" ref="C6">XLOOKUP(A6,DB!C:C,DB!K:K)</f>
        <v>#N/A</v>
      </c>
      <c r="D6" s="88" t="str">
        <f t="array" ref="D6">XLOOKUP(A6,DB!C:C,DB!B:B,"" )</f>
        <v/>
      </c>
      <c r="E6" s="82" t="str">
        <f t="array" ref="E6">XLOOKUP(A6,DB!C:C,DB!F:F,"" )</f>
        <v/>
      </c>
    </row>
    <row r="7">
      <c r="A7" s="4"/>
      <c r="B7" s="4"/>
      <c r="C7" s="4" t="str">
        <f t="array" ref="C7">XLOOKUP(A7,DB!C:C,DB!K:K)</f>
        <v>#N/A</v>
      </c>
      <c r="D7" s="88" t="str">
        <f t="array" ref="D7">XLOOKUP(A7,DB!C:C,DB!B:B,"" )</f>
        <v/>
      </c>
      <c r="E7" s="82" t="str">
        <f t="array" ref="E7">XLOOKUP(A7,DB!C:C,DB!F:F,"" )</f>
        <v/>
      </c>
    </row>
    <row r="8">
      <c r="A8" s="4"/>
      <c r="B8" s="4"/>
      <c r="C8" s="4" t="str">
        <f t="array" ref="C8">XLOOKUP(A8,DB!C:C,DB!K:K)</f>
        <v>#N/A</v>
      </c>
      <c r="D8" s="88" t="str">
        <f t="array" ref="D8">XLOOKUP(A8,DB!C:C,DB!B:B,"" )</f>
        <v/>
      </c>
      <c r="E8" s="82" t="str">
        <f t="array" ref="E8">XLOOKUP(A8,DB!C:C,DB!F:F,"" )</f>
        <v/>
      </c>
    </row>
    <row r="9">
      <c r="A9" s="4"/>
      <c r="B9" s="4"/>
      <c r="C9" s="4" t="str">
        <f t="array" ref="C9">XLOOKUP(A9,DB!C:C,DB!K:K)</f>
        <v>#N/A</v>
      </c>
      <c r="D9" s="88" t="str">
        <f t="array" ref="D9">XLOOKUP(A9,DB!C:C,DB!B:B,"" )</f>
        <v/>
      </c>
      <c r="E9" s="82" t="str">
        <f t="array" ref="E9">XLOOKUP(A9,DB!C:C,DB!F:F,"" )</f>
        <v/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</sheetData>
  <conditionalFormatting sqref="B3:B100">
    <cfRule type="expression" dxfId="1" priority="1">
      <formula>$D3&gt;$D$1</formula>
    </cfRule>
  </conditionalFormatting>
  <conditionalFormatting sqref="A3:A100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9.75"/>
    <col customWidth="1" min="5" max="5" width="20.5"/>
  </cols>
  <sheetData>
    <row r="1">
      <c r="A1" s="1" t="s">
        <v>647</v>
      </c>
      <c r="B1" s="80">
        <f>COUNTIF(A3:A1002,"*L4*")</f>
        <v>3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7" t="str">
        <f>IFERROR(__xludf.DUMMYFUNCTION("QUERY(Master!A2:B1002, ""SELECT A, B WHERE A STARTS WITH 'L4-012'"", 0)"),"L4-012-05FE0")</f>
        <v>L4-012-05FE0</v>
      </c>
      <c r="B3" s="13" t="str">
        <f>IFERROR(__xludf.DUMMYFUNCTION("""COMPUTED_VALUE"""),"Tugatog Health Center")</f>
        <v>Tugatog Health Center</v>
      </c>
      <c r="C3" s="82" t="str">
        <f t="array" ref="C3">XLOOKUP(A3,DB!C:C,DB!K:K)</f>
        <v>Blinking LOS</v>
      </c>
      <c r="D3" s="73">
        <f t="array" ref="D3">XLOOKUP(A3,DB!C:C,DB!B:B)</f>
        <v>46181</v>
      </c>
      <c r="E3" s="82" t="str">
        <f t="array" ref="E3">XLOOKUP(A3,DB!C:C,DB!F:F,"" )</f>
        <v>14.720810, 120.965967</v>
      </c>
    </row>
    <row r="4">
      <c r="A4" s="7" t="str">
        <f>IFERROR(__xludf.DUMMYFUNCTION("""COMPUTED_VALUE"""),"L4-012-007FF")</f>
        <v>L4-012-007FF</v>
      </c>
      <c r="B4" s="13" t="str">
        <f>IFERROR(__xludf.DUMMYFUNCTION("""COMPUTED_VALUE"""),"Punturin Elementary School")</f>
        <v>Punturin Elementary School</v>
      </c>
      <c r="C4" s="82" t="str">
        <f t="array" ref="C4">XLOOKUP(A4,DB!C:C,DB!K:K)</f>
        <v>Reset modem</v>
      </c>
      <c r="D4" s="25">
        <f t="array" ref="D4">XLOOKUP(A4,DB!C:C,DB!B:B)</f>
        <v>46181</v>
      </c>
      <c r="E4" s="82" t="str">
        <f t="array" ref="E4">XLOOKUP(A4,DB!C:C,DB!F:F,"" )</f>
        <v>14.740331, 120.989604</v>
      </c>
    </row>
    <row r="5">
      <c r="A5" s="7" t="str">
        <f>IFERROR(__xludf.DUMMYFUNCTION("""COMPUTED_VALUE"""),"L4-012-007F4")</f>
        <v>L4-012-007F4</v>
      </c>
      <c r="B5" s="13" t="str">
        <f>IFERROR(__xludf.DUMMYFUNCTION("""COMPUTED_VALUE"""),"Canumay East Elementary School")</f>
        <v>Canumay East Elementary School</v>
      </c>
      <c r="C5" s="82" t="str">
        <f t="array" ref="C5">XLOOKUP(A5,DB!C:C,DB!K:K)</f>
        <v>Reset modem</v>
      </c>
      <c r="D5" s="25">
        <f t="array" ref="D5">XLOOKUP(A5,DB!C:C,DB!B:B)</f>
        <v>46181</v>
      </c>
      <c r="E5" s="82" t="str">
        <f t="array" ref="E5">XLOOKUP(A5,DB!C:C,DB!F:F,"" )</f>
        <v>14.719814, 120.993127</v>
      </c>
    </row>
    <row r="6">
      <c r="A6" s="7"/>
      <c r="B6" s="13"/>
      <c r="C6" s="82" t="str">
        <f t="array" ref="C6">XLOOKUP(A6,DB!C:C,DB!K:K)</f>
        <v>#N/A</v>
      </c>
      <c r="D6" s="4" t="str">
        <f t="array" ref="D6">XLOOKUP(A6,DB!C:C,DB!B:B)</f>
        <v>#N/A</v>
      </c>
      <c r="E6" s="82" t="str">
        <f t="array" ref="E6">XLOOKUP(A6,DB!C:C,DB!F:F,"" )</f>
        <v/>
      </c>
    </row>
    <row r="7">
      <c r="A7" s="7"/>
      <c r="B7" s="13"/>
      <c r="C7" s="82" t="str">
        <f t="array" ref="C7">XLOOKUP(A7,DB!C:C,DB!K:K)</f>
        <v>#N/A</v>
      </c>
      <c r="D7" s="4" t="str">
        <f t="array" ref="D7">XLOOKUP(A7,DB!C:C,DB!B:B)</f>
        <v>#N/A</v>
      </c>
      <c r="E7" s="82" t="str">
        <f t="array" ref="E7">XLOOKUP(A7,DB!C:C,DB!F:F,"" )</f>
        <v/>
      </c>
    </row>
    <row r="8">
      <c r="A8" s="4"/>
      <c r="C8" s="82" t="str">
        <f t="array" ref="C8">XLOOKUP(A8,DB!C:C,DB!K:K)</f>
        <v>#N/A</v>
      </c>
      <c r="D8" s="4" t="str">
        <f t="array" ref="D8">XLOOKUP(A8,DB!C:C,DB!B:B)</f>
        <v>#N/A</v>
      </c>
      <c r="E8" s="82" t="str">
        <f t="array" ref="E8">XLOOKUP(A8,DB!C:C,DB!F:F,"" )</f>
        <v/>
      </c>
    </row>
    <row r="9">
      <c r="A9" s="4"/>
      <c r="C9" s="82" t="str">
        <f t="array" ref="C9">XLOOKUP(A9,DB!C:C,DB!K:K)</f>
        <v>#N/A</v>
      </c>
      <c r="D9" s="4" t="str">
        <f t="array" ref="D9">XLOOKUP(A9,DB!C:C,DB!B:B)</f>
        <v>#N/A</v>
      </c>
      <c r="E9" s="82" t="str">
        <f t="array" ref="E9">XLOOKUP(A9,DB!C:C,DB!F:F,"" )</f>
        <v/>
      </c>
    </row>
    <row r="10">
      <c r="A10" s="4"/>
      <c r="C10" s="82" t="str">
        <f t="array" ref="C10">XLOOKUP(A10,DB!C:C,DB!K:K)</f>
        <v>#N/A</v>
      </c>
      <c r="D10" s="4" t="str">
        <f t="array" ref="D10">XLOOKUP(A10,DB!C:C,DB!B:B)</f>
        <v>#N/A</v>
      </c>
      <c r="E10" s="82" t="str">
        <f t="array" ref="E10">XLOOKUP(A10,DB!C:C,DB!F:F,"" )</f>
        <v/>
      </c>
    </row>
    <row r="11">
      <c r="A11" s="4"/>
      <c r="C11" s="82" t="str">
        <f t="array" ref="C11">XLOOKUP(A11,DB!C:C,DB!K:K)</f>
        <v>#N/A</v>
      </c>
      <c r="D11" s="4" t="str">
        <f t="array" ref="D11">XLOOKUP(A11,DB!C:C,DB!B:B)</f>
        <v>#N/A</v>
      </c>
      <c r="E11" s="82" t="str">
        <f t="array" ref="E11">XLOOKUP(A11,DB!C:C,DB!F:F,"" )</f>
        <v/>
      </c>
    </row>
    <row r="12">
      <c r="A12" s="4"/>
      <c r="C12" s="82" t="str">
        <f t="array" ref="C12">XLOOKUP(A12,DB!C:C,DB!K:K)</f>
        <v>#N/A</v>
      </c>
      <c r="D12" s="4" t="str">
        <f t="array" ref="D12">XLOOKUP(A12,DB!C:C,DB!B:B)</f>
        <v>#N/A</v>
      </c>
      <c r="E12" s="82" t="str">
        <f t="array" ref="E12">XLOOKUP(A12,DB!C:C,DB!F:F,"" )</f>
        <v/>
      </c>
    </row>
    <row r="13">
      <c r="A13" s="4"/>
      <c r="C13" s="82" t="str">
        <f t="array" ref="C13">XLOOKUP(A13,DB!C:C,DB!K:K)</f>
        <v>#N/A</v>
      </c>
      <c r="D13" s="4" t="str">
        <f t="array" ref="D13">XLOOKUP(A13,DB!C:C,DB!B:B)</f>
        <v>#N/A</v>
      </c>
      <c r="E13" s="82" t="str">
        <f t="array" ref="E13">XLOOKUP(A13,DB!C:C,DB!F:F,"" )</f>
        <v/>
      </c>
    </row>
    <row r="14">
      <c r="A14" s="4"/>
      <c r="C14" s="82" t="str">
        <f t="array" ref="C14">XLOOKUP(A14,DB!C:C,DB!K:K)</f>
        <v>#N/A</v>
      </c>
      <c r="D14" s="4" t="str">
        <f t="array" ref="D14">XLOOKUP(A14,DB!C:C,DB!B:B)</f>
        <v>#N/A</v>
      </c>
      <c r="E14" s="82" t="str">
        <f t="array" ref="E14">XLOOKUP(A14,DB!C:C,DB!F:F,"" )</f>
        <v/>
      </c>
    </row>
    <row r="15">
      <c r="A15" s="4"/>
      <c r="C15" s="82" t="str">
        <f t="array" ref="C15">XLOOKUP(A15,DB!C:C,DB!K:K)</f>
        <v>#N/A</v>
      </c>
      <c r="D15" s="4" t="str">
        <f t="array" ref="D15">XLOOKUP(A15,DB!C:C,DB!B:B)</f>
        <v>#N/A</v>
      </c>
    </row>
    <row r="16">
      <c r="A16" s="4"/>
      <c r="C16" s="82" t="str">
        <f t="array" ref="C16">XLOOKUP(A16,DB!C:C,DB!K:K)</f>
        <v>#N/A</v>
      </c>
      <c r="D16" s="4" t="str">
        <f t="array" ref="D16">XLOOKUP(A16,DB!C:C,DB!B:B)</f>
        <v>#N/A</v>
      </c>
    </row>
    <row r="17">
      <c r="A17" s="4"/>
      <c r="C17" s="82" t="str">
        <f t="array" ref="C17">XLOOKUP(A17,DB!C:C,DB!K:K)</f>
        <v>#N/A</v>
      </c>
      <c r="D17" s="4" t="str">
        <f t="array" ref="D17">XLOOKUP(A17,DB!C:C,DB!B:B)</f>
        <v>#N/A</v>
      </c>
    </row>
    <row r="18">
      <c r="A18" s="4"/>
      <c r="C18" s="82" t="str">
        <f t="array" ref="C18">XLOOKUP(A18,DB!C:C,DB!K:K)</f>
        <v>#N/A</v>
      </c>
      <c r="D18" s="4" t="str">
        <f t="array" ref="D18">XLOOKUP(A18,DB!C:C,DB!B:B)</f>
        <v>#N/A</v>
      </c>
    </row>
    <row r="19">
      <c r="A19" s="4"/>
      <c r="C19" s="82" t="str">
        <f t="array" ref="C19">XLOOKUP(A19,DB!C:C,DB!K:K)</f>
        <v>#N/A</v>
      </c>
      <c r="D19" s="4" t="str">
        <f t="array" ref="D19">XLOOKUP(A19,DB!C:C,DB!B:B)</f>
        <v>#N/A</v>
      </c>
    </row>
    <row r="20">
      <c r="A20" s="4"/>
      <c r="C20" s="82"/>
    </row>
    <row r="21">
      <c r="A21" s="4"/>
      <c r="C21" s="82"/>
    </row>
    <row r="22">
      <c r="A22" s="4"/>
      <c r="C22" s="82"/>
    </row>
    <row r="23">
      <c r="A23" s="4"/>
      <c r="C23" s="82"/>
    </row>
    <row r="24">
      <c r="A24" s="4"/>
      <c r="C24" s="82"/>
    </row>
    <row r="25">
      <c r="A25" s="4"/>
      <c r="C25" s="82"/>
    </row>
    <row r="26">
      <c r="A26" s="4"/>
      <c r="C26" s="82"/>
    </row>
    <row r="27">
      <c r="A27" s="4"/>
      <c r="C27" s="82"/>
    </row>
    <row r="28">
      <c r="A28" s="4"/>
      <c r="C28" s="82"/>
    </row>
    <row r="29">
      <c r="A29" s="4"/>
      <c r="C29" s="82"/>
    </row>
    <row r="30">
      <c r="A30" s="4"/>
      <c r="C30" s="82"/>
    </row>
    <row r="31">
      <c r="A31" s="4"/>
      <c r="C31" s="82"/>
    </row>
    <row r="32">
      <c r="A32" s="4"/>
      <c r="C32" s="82"/>
    </row>
    <row r="33">
      <c r="A33" s="4"/>
      <c r="C33" s="82"/>
    </row>
    <row r="34">
      <c r="A34" s="4"/>
      <c r="C34" s="82"/>
    </row>
    <row r="35">
      <c r="A35" s="4"/>
      <c r="C35" s="82"/>
    </row>
    <row r="36">
      <c r="A36" s="4"/>
      <c r="C36" s="82"/>
    </row>
    <row r="37">
      <c r="A37" s="4"/>
      <c r="C37" s="82"/>
    </row>
    <row r="38">
      <c r="A38" s="4"/>
      <c r="C38" s="82"/>
    </row>
    <row r="39">
      <c r="A39" s="4"/>
      <c r="C39" s="82"/>
    </row>
    <row r="40">
      <c r="A40" s="4"/>
      <c r="C40" s="82"/>
    </row>
    <row r="41">
      <c r="A41" s="4"/>
      <c r="C41" s="82"/>
    </row>
    <row r="42">
      <c r="A42" s="4"/>
      <c r="C42" s="82"/>
    </row>
    <row r="43">
      <c r="A43" s="4"/>
      <c r="C43" s="82"/>
    </row>
    <row r="44">
      <c r="A44" s="4"/>
      <c r="C44" s="82"/>
    </row>
    <row r="45">
      <c r="A45" s="4"/>
      <c r="C45" s="82"/>
    </row>
    <row r="46">
      <c r="A46" s="4"/>
      <c r="C46" s="82"/>
    </row>
    <row r="47">
      <c r="A47" s="4"/>
      <c r="C47" s="82"/>
    </row>
    <row r="48">
      <c r="A48" s="4"/>
      <c r="C48" s="82"/>
    </row>
    <row r="49">
      <c r="A49" s="4"/>
      <c r="C49" s="82"/>
    </row>
    <row r="50">
      <c r="A50" s="4"/>
      <c r="C50" s="82"/>
    </row>
    <row r="51">
      <c r="A51" s="4"/>
      <c r="C51" s="82"/>
    </row>
    <row r="52">
      <c r="A52" s="4"/>
      <c r="C52" s="82"/>
    </row>
    <row r="53">
      <c r="A53" s="4"/>
      <c r="C53" s="82"/>
    </row>
    <row r="54">
      <c r="A54" s="4"/>
      <c r="C54" s="82"/>
    </row>
    <row r="55">
      <c r="A55" s="4"/>
      <c r="C55" s="82"/>
    </row>
    <row r="56">
      <c r="A56" s="4"/>
      <c r="C56" s="82"/>
    </row>
    <row r="57">
      <c r="A57" s="4"/>
      <c r="C57" s="82"/>
    </row>
    <row r="58">
      <c r="A58" s="4"/>
      <c r="C58" s="82"/>
    </row>
    <row r="59">
      <c r="A59" s="4"/>
      <c r="C59" s="82"/>
    </row>
    <row r="60">
      <c r="A60" s="4"/>
      <c r="C60" s="82"/>
    </row>
    <row r="61">
      <c r="A61" s="4"/>
      <c r="C61" s="82"/>
    </row>
    <row r="62">
      <c r="A62" s="4"/>
      <c r="C62" s="82"/>
    </row>
    <row r="63">
      <c r="A63" s="4"/>
      <c r="C63" s="82"/>
    </row>
    <row r="64">
      <c r="A64" s="4"/>
      <c r="C64" s="82"/>
    </row>
    <row r="65">
      <c r="A65" s="4"/>
      <c r="C65" s="82"/>
    </row>
    <row r="66">
      <c r="A66" s="4"/>
      <c r="C66" s="82"/>
    </row>
    <row r="67">
      <c r="A67" s="4"/>
      <c r="C67" s="82"/>
    </row>
    <row r="68">
      <c r="A68" s="4"/>
      <c r="C68" s="82"/>
    </row>
    <row r="69">
      <c r="A69" s="4"/>
      <c r="C69" s="82"/>
    </row>
    <row r="70">
      <c r="A70" s="4"/>
      <c r="C70" s="82"/>
    </row>
    <row r="71">
      <c r="A71" s="4"/>
      <c r="C71" s="82"/>
    </row>
    <row r="72">
      <c r="A72" s="4"/>
      <c r="C72" s="82"/>
    </row>
    <row r="73">
      <c r="A73" s="4"/>
      <c r="C73" s="82"/>
    </row>
    <row r="74">
      <c r="A74" s="4"/>
      <c r="C74" s="82"/>
    </row>
    <row r="75">
      <c r="A75" s="4"/>
      <c r="C75" s="82"/>
    </row>
    <row r="76">
      <c r="A76" s="4"/>
      <c r="C76" s="82"/>
    </row>
    <row r="77">
      <c r="A77" s="4"/>
      <c r="C77" s="82"/>
    </row>
    <row r="78">
      <c r="A78" s="4"/>
      <c r="C78" s="82"/>
    </row>
    <row r="79">
      <c r="A79" s="4"/>
      <c r="C79" s="82"/>
    </row>
    <row r="80">
      <c r="A80" s="4"/>
      <c r="C80" s="82"/>
    </row>
    <row r="81">
      <c r="A81" s="4"/>
      <c r="C81" s="82"/>
    </row>
    <row r="82">
      <c r="A82" s="4"/>
      <c r="C82" s="82"/>
    </row>
    <row r="83">
      <c r="A83" s="4"/>
      <c r="C83" s="82"/>
    </row>
    <row r="84">
      <c r="A84" s="4"/>
      <c r="C84" s="82"/>
    </row>
    <row r="85">
      <c r="A85" s="4"/>
      <c r="C85" s="82"/>
    </row>
    <row r="86">
      <c r="A86" s="4"/>
      <c r="C86" s="82"/>
    </row>
    <row r="87">
      <c r="A87" s="4"/>
      <c r="C87" s="82"/>
    </row>
    <row r="88">
      <c r="A88" s="4"/>
      <c r="C88" s="82"/>
    </row>
    <row r="89">
      <c r="A89" s="4"/>
      <c r="C89" s="82"/>
    </row>
    <row r="90">
      <c r="A90" s="4"/>
      <c r="C90" s="82"/>
    </row>
    <row r="91">
      <c r="A91" s="4"/>
      <c r="C91" s="82"/>
    </row>
    <row r="92">
      <c r="A92" s="4"/>
      <c r="C92" s="82"/>
    </row>
    <row r="93">
      <c r="A93" s="4"/>
      <c r="C93" s="82"/>
    </row>
    <row r="94">
      <c r="A94" s="4"/>
      <c r="C94" s="82"/>
    </row>
    <row r="95">
      <c r="A95" s="4"/>
      <c r="C95" s="82"/>
    </row>
    <row r="96">
      <c r="A96" s="4"/>
      <c r="C96" s="82"/>
    </row>
    <row r="97">
      <c r="A97" s="4"/>
      <c r="C97" s="82"/>
    </row>
    <row r="98">
      <c r="A98" s="4"/>
      <c r="C98" s="82"/>
    </row>
    <row r="99">
      <c r="A99" s="4"/>
      <c r="C99" s="82"/>
    </row>
    <row r="100">
      <c r="A100" s="4"/>
      <c r="C100" s="82"/>
    </row>
    <row r="101">
      <c r="C101" s="82"/>
    </row>
    <row r="102">
      <c r="C102" s="82"/>
    </row>
    <row r="103">
      <c r="C103" s="82"/>
    </row>
    <row r="104">
      <c r="C104" s="82"/>
    </row>
    <row r="105">
      <c r="C105" s="82"/>
    </row>
    <row r="106">
      <c r="C106" s="82"/>
    </row>
    <row r="107">
      <c r="C107" s="82"/>
    </row>
    <row r="108">
      <c r="C108" s="82"/>
    </row>
    <row r="109">
      <c r="C109" s="82"/>
    </row>
    <row r="110">
      <c r="C110" s="82"/>
    </row>
    <row r="111">
      <c r="C111" s="82"/>
    </row>
    <row r="112">
      <c r="C112" s="82"/>
    </row>
    <row r="113">
      <c r="C113" s="82"/>
    </row>
    <row r="114">
      <c r="C114" s="82"/>
    </row>
    <row r="115">
      <c r="C115" s="82"/>
    </row>
    <row r="116">
      <c r="C116" s="82"/>
    </row>
    <row r="117">
      <c r="C117" s="82"/>
    </row>
    <row r="118">
      <c r="C118" s="82"/>
    </row>
    <row r="119">
      <c r="C119" s="82"/>
    </row>
    <row r="120">
      <c r="C120" s="82"/>
    </row>
    <row r="121">
      <c r="C121" s="82"/>
    </row>
    <row r="122">
      <c r="C122" s="82"/>
    </row>
    <row r="123">
      <c r="C123" s="82"/>
    </row>
    <row r="124">
      <c r="C124" s="82"/>
    </row>
    <row r="125">
      <c r="C125" s="82"/>
    </row>
    <row r="126">
      <c r="C126" s="82"/>
    </row>
    <row r="127">
      <c r="C127" s="82"/>
    </row>
    <row r="128">
      <c r="C128" s="82"/>
    </row>
    <row r="129">
      <c r="C129" s="82"/>
    </row>
    <row r="130">
      <c r="C130" s="82"/>
    </row>
    <row r="131">
      <c r="C131" s="82"/>
    </row>
    <row r="132">
      <c r="C132" s="82"/>
    </row>
    <row r="133">
      <c r="C133" s="82"/>
    </row>
    <row r="134">
      <c r="C134" s="82"/>
    </row>
    <row r="135">
      <c r="C135" s="82"/>
    </row>
    <row r="136">
      <c r="C136" s="82"/>
    </row>
    <row r="137">
      <c r="C137" s="82"/>
    </row>
    <row r="138">
      <c r="C138" s="82"/>
    </row>
    <row r="139">
      <c r="C139" s="82"/>
    </row>
    <row r="140">
      <c r="C140" s="82"/>
    </row>
    <row r="141">
      <c r="C141" s="82"/>
    </row>
    <row r="142">
      <c r="C142" s="82"/>
    </row>
    <row r="143">
      <c r="C143" s="82"/>
    </row>
    <row r="144">
      <c r="C144" s="82"/>
    </row>
    <row r="145">
      <c r="C145" s="82"/>
    </row>
    <row r="146">
      <c r="C146" s="82"/>
    </row>
    <row r="147">
      <c r="C147" s="82"/>
    </row>
    <row r="148">
      <c r="C148" s="82"/>
    </row>
    <row r="149">
      <c r="C149" s="82"/>
    </row>
    <row r="150">
      <c r="C150" s="82"/>
    </row>
    <row r="151">
      <c r="C151" s="82"/>
    </row>
    <row r="152">
      <c r="C152" s="82"/>
    </row>
    <row r="153">
      <c r="C153" s="82"/>
    </row>
    <row r="154">
      <c r="C154" s="82"/>
    </row>
    <row r="155">
      <c r="C155" s="82"/>
    </row>
    <row r="156">
      <c r="C156" s="82"/>
    </row>
    <row r="157">
      <c r="C157" s="82"/>
    </row>
    <row r="158">
      <c r="C158" s="82"/>
    </row>
    <row r="159">
      <c r="C159" s="82"/>
    </row>
    <row r="160">
      <c r="C160" s="82"/>
    </row>
    <row r="161">
      <c r="C161" s="82"/>
    </row>
    <row r="162">
      <c r="C162" s="82"/>
    </row>
    <row r="163">
      <c r="C163" s="82"/>
    </row>
    <row r="164">
      <c r="C164" s="82"/>
    </row>
    <row r="165">
      <c r="C165" s="82"/>
    </row>
    <row r="166">
      <c r="C166" s="82"/>
    </row>
    <row r="167">
      <c r="C167" s="82"/>
    </row>
    <row r="168">
      <c r="C168" s="82"/>
    </row>
    <row r="169">
      <c r="C169" s="82"/>
    </row>
    <row r="170">
      <c r="C170" s="82"/>
    </row>
    <row r="171">
      <c r="C171" s="82"/>
    </row>
    <row r="172">
      <c r="C172" s="82"/>
    </row>
    <row r="173">
      <c r="C173" s="82"/>
    </row>
    <row r="174">
      <c r="C174" s="82"/>
    </row>
    <row r="175">
      <c r="C175" s="82"/>
    </row>
    <row r="176">
      <c r="C176" s="82"/>
    </row>
    <row r="177">
      <c r="C177" s="82"/>
    </row>
    <row r="178">
      <c r="C178" s="82"/>
    </row>
    <row r="179">
      <c r="C179" s="82"/>
    </row>
    <row r="180">
      <c r="C180" s="82"/>
    </row>
    <row r="181">
      <c r="C181" s="82"/>
    </row>
    <row r="182">
      <c r="C182" s="82"/>
    </row>
    <row r="183">
      <c r="C183" s="82"/>
    </row>
    <row r="184">
      <c r="C184" s="82"/>
    </row>
    <row r="185">
      <c r="C185" s="82"/>
    </row>
    <row r="186">
      <c r="C186" s="82"/>
    </row>
    <row r="187">
      <c r="C187" s="82"/>
    </row>
    <row r="188">
      <c r="C188" s="82"/>
    </row>
    <row r="189">
      <c r="C189" s="82"/>
    </row>
    <row r="190">
      <c r="C190" s="82"/>
    </row>
    <row r="191">
      <c r="C191" s="82"/>
    </row>
    <row r="192">
      <c r="C192" s="82"/>
    </row>
    <row r="193">
      <c r="C193" s="82"/>
    </row>
    <row r="194">
      <c r="C194" s="82"/>
    </row>
    <row r="195">
      <c r="C195" s="82"/>
    </row>
    <row r="196">
      <c r="C196" s="82"/>
    </row>
    <row r="197">
      <c r="C197" s="82"/>
    </row>
    <row r="198">
      <c r="C198" s="82"/>
    </row>
    <row r="199">
      <c r="C199" s="82"/>
    </row>
    <row r="200">
      <c r="C200" s="82"/>
    </row>
    <row r="201">
      <c r="C201" s="82"/>
    </row>
    <row r="202">
      <c r="C202" s="82"/>
    </row>
    <row r="203">
      <c r="C203" s="82"/>
    </row>
    <row r="204">
      <c r="C204" s="82"/>
    </row>
    <row r="205">
      <c r="C205" s="82"/>
    </row>
    <row r="206">
      <c r="C206" s="82"/>
    </row>
    <row r="207">
      <c r="C207" s="82"/>
    </row>
    <row r="208">
      <c r="C208" s="82"/>
    </row>
    <row r="209">
      <c r="C209" s="82"/>
    </row>
    <row r="210">
      <c r="C210" s="82"/>
    </row>
    <row r="211">
      <c r="C211" s="82"/>
    </row>
    <row r="212">
      <c r="C212" s="82"/>
    </row>
    <row r="213">
      <c r="C213" s="82"/>
    </row>
    <row r="214">
      <c r="C214" s="82"/>
    </row>
    <row r="215">
      <c r="C215" s="82"/>
    </row>
    <row r="216">
      <c r="C216" s="82"/>
    </row>
    <row r="217">
      <c r="C217" s="82"/>
    </row>
    <row r="218">
      <c r="C218" s="82"/>
    </row>
    <row r="219">
      <c r="C219" s="82"/>
    </row>
    <row r="220">
      <c r="C220" s="82"/>
    </row>
    <row r="221">
      <c r="C221" s="82"/>
    </row>
    <row r="222">
      <c r="C222" s="82"/>
    </row>
    <row r="223">
      <c r="C223" s="82"/>
    </row>
    <row r="224">
      <c r="C224" s="82"/>
    </row>
    <row r="225">
      <c r="C225" s="82"/>
    </row>
    <row r="226">
      <c r="C226" s="82"/>
    </row>
    <row r="227">
      <c r="C227" s="82"/>
    </row>
    <row r="228">
      <c r="C228" s="82"/>
    </row>
    <row r="229">
      <c r="C229" s="82"/>
    </row>
    <row r="230">
      <c r="C230" s="82"/>
    </row>
    <row r="231">
      <c r="C231" s="82"/>
    </row>
    <row r="232">
      <c r="C232" s="82"/>
    </row>
    <row r="233">
      <c r="C233" s="82"/>
    </row>
    <row r="234">
      <c r="C234" s="82"/>
    </row>
    <row r="235">
      <c r="C235" s="82"/>
    </row>
    <row r="236">
      <c r="C236" s="82"/>
    </row>
    <row r="237">
      <c r="C237" s="82"/>
    </row>
    <row r="238">
      <c r="C238" s="82"/>
    </row>
    <row r="239">
      <c r="C239" s="82"/>
    </row>
    <row r="240">
      <c r="C240" s="82"/>
    </row>
    <row r="241">
      <c r="C241" s="82"/>
    </row>
    <row r="242">
      <c r="C242" s="82"/>
    </row>
    <row r="243">
      <c r="C243" s="82"/>
    </row>
    <row r="244">
      <c r="C244" s="82"/>
    </row>
    <row r="245">
      <c r="C245" s="82"/>
    </row>
    <row r="246">
      <c r="C246" s="82"/>
    </row>
    <row r="247">
      <c r="C247" s="82"/>
    </row>
    <row r="248">
      <c r="C248" s="82"/>
    </row>
    <row r="249">
      <c r="C249" s="82"/>
    </row>
    <row r="250">
      <c r="C250" s="82"/>
    </row>
    <row r="251">
      <c r="C251" s="82"/>
    </row>
    <row r="252">
      <c r="C252" s="82"/>
    </row>
    <row r="253">
      <c r="C253" s="82"/>
    </row>
    <row r="254">
      <c r="C254" s="82"/>
    </row>
    <row r="255">
      <c r="C255" s="82"/>
    </row>
    <row r="256">
      <c r="C256" s="82"/>
    </row>
    <row r="257">
      <c r="C257" s="82"/>
    </row>
    <row r="258">
      <c r="C258" s="82"/>
    </row>
    <row r="259">
      <c r="C259" s="82"/>
    </row>
    <row r="260">
      <c r="C260" s="82"/>
    </row>
    <row r="261">
      <c r="C261" s="82"/>
    </row>
    <row r="262">
      <c r="C262" s="82"/>
    </row>
    <row r="263">
      <c r="C263" s="82"/>
    </row>
    <row r="264">
      <c r="C264" s="82"/>
    </row>
    <row r="265">
      <c r="C265" s="82"/>
    </row>
    <row r="266">
      <c r="C266" s="82"/>
    </row>
    <row r="267">
      <c r="C267" s="82"/>
    </row>
    <row r="268">
      <c r="C268" s="82"/>
    </row>
    <row r="269">
      <c r="C269" s="82"/>
    </row>
    <row r="270">
      <c r="C270" s="82"/>
    </row>
    <row r="271">
      <c r="C271" s="82"/>
    </row>
    <row r="272">
      <c r="C272" s="82"/>
    </row>
    <row r="273">
      <c r="C273" s="82"/>
    </row>
    <row r="274">
      <c r="C274" s="82"/>
    </row>
    <row r="275">
      <c r="C275" s="82"/>
    </row>
    <row r="276">
      <c r="C276" s="82"/>
    </row>
    <row r="277">
      <c r="C277" s="82"/>
    </row>
    <row r="278">
      <c r="C278" s="82"/>
    </row>
    <row r="279">
      <c r="C279" s="82"/>
    </row>
    <row r="280">
      <c r="C280" s="82"/>
    </row>
    <row r="281">
      <c r="C281" s="82"/>
    </row>
    <row r="282">
      <c r="C282" s="82"/>
    </row>
    <row r="283">
      <c r="C283" s="82"/>
    </row>
    <row r="284">
      <c r="C284" s="82"/>
    </row>
    <row r="285">
      <c r="C285" s="82"/>
    </row>
    <row r="286">
      <c r="C286" s="82"/>
    </row>
    <row r="287">
      <c r="C287" s="82"/>
    </row>
    <row r="288">
      <c r="C288" s="82"/>
    </row>
    <row r="289">
      <c r="C289" s="82"/>
    </row>
    <row r="290">
      <c r="C290" s="82"/>
    </row>
    <row r="291">
      <c r="C291" s="82"/>
    </row>
    <row r="292">
      <c r="C292" s="82"/>
    </row>
    <row r="293">
      <c r="C293" s="82"/>
    </row>
    <row r="294">
      <c r="C294" s="82"/>
    </row>
    <row r="295">
      <c r="C295" s="82"/>
    </row>
    <row r="296">
      <c r="C296" s="82"/>
    </row>
    <row r="297">
      <c r="C297" s="82"/>
    </row>
    <row r="298">
      <c r="C298" s="82"/>
    </row>
    <row r="299">
      <c r="C299" s="82"/>
    </row>
    <row r="300">
      <c r="C300" s="82"/>
    </row>
    <row r="301">
      <c r="C301" s="82"/>
    </row>
    <row r="302">
      <c r="C302" s="82"/>
    </row>
    <row r="303">
      <c r="C303" s="82"/>
    </row>
    <row r="304">
      <c r="C304" s="82"/>
    </row>
    <row r="305">
      <c r="C305" s="82"/>
    </row>
    <row r="306">
      <c r="C306" s="82"/>
    </row>
    <row r="307">
      <c r="C307" s="82"/>
    </row>
    <row r="308">
      <c r="C308" s="82"/>
    </row>
    <row r="309">
      <c r="C309" s="82"/>
    </row>
    <row r="310">
      <c r="C310" s="82"/>
    </row>
    <row r="311">
      <c r="C311" s="82"/>
    </row>
    <row r="312">
      <c r="C312" s="82"/>
    </row>
    <row r="313">
      <c r="C313" s="82"/>
    </row>
    <row r="314">
      <c r="C314" s="82"/>
    </row>
    <row r="315">
      <c r="C315" s="82"/>
    </row>
    <row r="316">
      <c r="C316" s="82"/>
    </row>
    <row r="317">
      <c r="C317" s="82"/>
    </row>
    <row r="318">
      <c r="C318" s="82"/>
    </row>
    <row r="319">
      <c r="C319" s="82"/>
    </row>
    <row r="320">
      <c r="C320" s="82"/>
    </row>
    <row r="321">
      <c r="C321" s="82"/>
    </row>
    <row r="322">
      <c r="C322" s="82"/>
    </row>
    <row r="323">
      <c r="C323" s="82"/>
    </row>
    <row r="324">
      <c r="C324" s="82"/>
    </row>
    <row r="325">
      <c r="C325" s="82"/>
    </row>
    <row r="326">
      <c r="C326" s="82"/>
    </row>
    <row r="327">
      <c r="C327" s="82"/>
    </row>
    <row r="328">
      <c r="C328" s="82"/>
    </row>
    <row r="329">
      <c r="C329" s="82"/>
    </row>
    <row r="330">
      <c r="C330" s="82"/>
    </row>
    <row r="331">
      <c r="C331" s="82"/>
    </row>
    <row r="332">
      <c r="C332" s="82"/>
    </row>
    <row r="333">
      <c r="C333" s="82"/>
    </row>
    <row r="334">
      <c r="C334" s="82"/>
    </row>
    <row r="335">
      <c r="C335" s="82"/>
    </row>
    <row r="336">
      <c r="C336" s="82"/>
    </row>
    <row r="337">
      <c r="C337" s="82"/>
    </row>
    <row r="338">
      <c r="C338" s="82"/>
    </row>
    <row r="339">
      <c r="C339" s="82"/>
    </row>
    <row r="340">
      <c r="C340" s="82"/>
    </row>
    <row r="341">
      <c r="C341" s="82"/>
    </row>
    <row r="342">
      <c r="C342" s="82"/>
    </row>
    <row r="343">
      <c r="C343" s="82"/>
    </row>
    <row r="344">
      <c r="C344" s="82"/>
    </row>
    <row r="345">
      <c r="C345" s="82"/>
    </row>
    <row r="346">
      <c r="C346" s="82"/>
    </row>
    <row r="347">
      <c r="C347" s="82"/>
    </row>
    <row r="348">
      <c r="C348" s="82"/>
    </row>
    <row r="349">
      <c r="C349" s="82"/>
    </row>
    <row r="350">
      <c r="C350" s="82"/>
    </row>
    <row r="351">
      <c r="C351" s="82"/>
    </row>
    <row r="352">
      <c r="C352" s="82"/>
    </row>
    <row r="353">
      <c r="C353" s="82"/>
    </row>
    <row r="354">
      <c r="C354" s="82"/>
    </row>
    <row r="355">
      <c r="C355" s="82"/>
    </row>
    <row r="356">
      <c r="C356" s="82"/>
    </row>
    <row r="357">
      <c r="C357" s="82"/>
    </row>
    <row r="358">
      <c r="C358" s="82"/>
    </row>
    <row r="359">
      <c r="C359" s="82"/>
    </row>
    <row r="360">
      <c r="C360" s="82"/>
    </row>
    <row r="361">
      <c r="C361" s="82"/>
    </row>
    <row r="362">
      <c r="C362" s="82"/>
    </row>
    <row r="363">
      <c r="C363" s="82"/>
    </row>
    <row r="364">
      <c r="C364" s="82"/>
    </row>
    <row r="365">
      <c r="C365" s="82"/>
    </row>
    <row r="366">
      <c r="C366" s="82"/>
    </row>
    <row r="367">
      <c r="C367" s="82"/>
    </row>
    <row r="368">
      <c r="C368" s="82"/>
    </row>
    <row r="369">
      <c r="C369" s="82"/>
    </row>
    <row r="370">
      <c r="C370" s="82"/>
    </row>
    <row r="371">
      <c r="C371" s="82"/>
    </row>
    <row r="372">
      <c r="C372" s="82"/>
    </row>
    <row r="373">
      <c r="C373" s="82"/>
    </row>
    <row r="374">
      <c r="C374" s="82"/>
    </row>
    <row r="375">
      <c r="C375" s="82"/>
    </row>
    <row r="376">
      <c r="C376" s="82"/>
    </row>
    <row r="377">
      <c r="C377" s="82"/>
    </row>
    <row r="378">
      <c r="C378" s="82"/>
    </row>
    <row r="379">
      <c r="C379" s="82"/>
    </row>
    <row r="380">
      <c r="C380" s="82"/>
    </row>
    <row r="381">
      <c r="C381" s="82"/>
    </row>
    <row r="382">
      <c r="C382" s="82"/>
    </row>
    <row r="383">
      <c r="C383" s="82"/>
    </row>
    <row r="384">
      <c r="C384" s="82"/>
    </row>
    <row r="385">
      <c r="C385" s="82"/>
    </row>
    <row r="386">
      <c r="C386" s="82"/>
    </row>
    <row r="387">
      <c r="C387" s="82"/>
    </row>
    <row r="388">
      <c r="C388" s="82"/>
    </row>
    <row r="389">
      <c r="C389" s="82"/>
    </row>
    <row r="390">
      <c r="C390" s="82"/>
    </row>
    <row r="391">
      <c r="C391" s="82"/>
    </row>
    <row r="392">
      <c r="C392" s="82"/>
    </row>
    <row r="393">
      <c r="C393" s="82"/>
    </row>
    <row r="394">
      <c r="C394" s="82"/>
    </row>
    <row r="395">
      <c r="C395" s="82"/>
    </row>
    <row r="396">
      <c r="C396" s="82"/>
    </row>
    <row r="397">
      <c r="C397" s="82"/>
    </row>
    <row r="398">
      <c r="C398" s="82"/>
    </row>
    <row r="399">
      <c r="C399" s="82"/>
    </row>
    <row r="400">
      <c r="C400" s="82"/>
    </row>
    <row r="401">
      <c r="C401" s="82"/>
    </row>
    <row r="402">
      <c r="C402" s="82"/>
    </row>
    <row r="403">
      <c r="C403" s="82"/>
    </row>
    <row r="404">
      <c r="C404" s="82"/>
    </row>
    <row r="405">
      <c r="C405" s="82"/>
    </row>
    <row r="406">
      <c r="C406" s="82"/>
    </row>
    <row r="407">
      <c r="C407" s="82"/>
    </row>
    <row r="408">
      <c r="C408" s="82"/>
    </row>
    <row r="409">
      <c r="C409" s="82"/>
    </row>
    <row r="410">
      <c r="C410" s="82"/>
    </row>
    <row r="411">
      <c r="C411" s="82"/>
    </row>
    <row r="412">
      <c r="C412" s="82"/>
    </row>
    <row r="413">
      <c r="C413" s="82"/>
    </row>
    <row r="414">
      <c r="C414" s="82"/>
    </row>
    <row r="415">
      <c r="C415" s="82"/>
    </row>
    <row r="416">
      <c r="C416" s="82"/>
    </row>
    <row r="417">
      <c r="C417" s="82"/>
    </row>
    <row r="418">
      <c r="C418" s="82"/>
    </row>
    <row r="419">
      <c r="C419" s="82"/>
    </row>
    <row r="420">
      <c r="C420" s="82"/>
    </row>
    <row r="421">
      <c r="C421" s="82"/>
    </row>
    <row r="422">
      <c r="C422" s="82"/>
    </row>
    <row r="423">
      <c r="C423" s="82"/>
    </row>
    <row r="424">
      <c r="C424" s="82"/>
    </row>
    <row r="425">
      <c r="C425" s="82"/>
    </row>
    <row r="426">
      <c r="C426" s="82"/>
    </row>
    <row r="427">
      <c r="C427" s="82"/>
    </row>
    <row r="428">
      <c r="C428" s="82"/>
    </row>
    <row r="429">
      <c r="C429" s="82"/>
    </row>
    <row r="430">
      <c r="C430" s="82"/>
    </row>
    <row r="431">
      <c r="C431" s="82"/>
    </row>
    <row r="432">
      <c r="C432" s="82"/>
    </row>
    <row r="433">
      <c r="C433" s="82"/>
    </row>
    <row r="434">
      <c r="C434" s="82"/>
    </row>
    <row r="435">
      <c r="C435" s="82"/>
    </row>
    <row r="436">
      <c r="C436" s="82"/>
    </row>
    <row r="437">
      <c r="C437" s="82"/>
    </row>
    <row r="438">
      <c r="C438" s="82"/>
    </row>
    <row r="439">
      <c r="C439" s="82"/>
    </row>
    <row r="440">
      <c r="C440" s="82"/>
    </row>
    <row r="441">
      <c r="C441" s="82"/>
    </row>
    <row r="442">
      <c r="C442" s="82"/>
    </row>
    <row r="443">
      <c r="C443" s="82"/>
    </row>
    <row r="444">
      <c r="C444" s="82"/>
    </row>
    <row r="445">
      <c r="C445" s="82"/>
    </row>
    <row r="446">
      <c r="C446" s="82"/>
    </row>
    <row r="447">
      <c r="C447" s="82"/>
    </row>
    <row r="448">
      <c r="C448" s="82"/>
    </row>
    <row r="449">
      <c r="C449" s="82"/>
    </row>
    <row r="450">
      <c r="C450" s="82"/>
    </row>
    <row r="451">
      <c r="C451" s="82"/>
    </row>
    <row r="452">
      <c r="C452" s="82"/>
    </row>
    <row r="453">
      <c r="C453" s="82"/>
    </row>
    <row r="454">
      <c r="C454" s="82"/>
    </row>
    <row r="455">
      <c r="C455" s="82"/>
    </row>
    <row r="456">
      <c r="C456" s="82"/>
    </row>
    <row r="457">
      <c r="C457" s="82"/>
    </row>
    <row r="458">
      <c r="C458" s="82"/>
    </row>
    <row r="459">
      <c r="C459" s="82"/>
    </row>
    <row r="460">
      <c r="C460" s="82"/>
    </row>
    <row r="461">
      <c r="C461" s="82"/>
    </row>
    <row r="462">
      <c r="C462" s="82"/>
    </row>
    <row r="463">
      <c r="C463" s="82"/>
    </row>
    <row r="464">
      <c r="C464" s="82"/>
    </row>
    <row r="465">
      <c r="C465" s="82"/>
    </row>
    <row r="466">
      <c r="C466" s="82"/>
    </row>
    <row r="467">
      <c r="C467" s="82"/>
    </row>
    <row r="468">
      <c r="C468" s="82"/>
    </row>
    <row r="469">
      <c r="C469" s="82"/>
    </row>
    <row r="470">
      <c r="C470" s="82"/>
    </row>
    <row r="471">
      <c r="C471" s="82"/>
    </row>
    <row r="472">
      <c r="C472" s="82"/>
    </row>
    <row r="473">
      <c r="C473" s="82"/>
    </row>
    <row r="474">
      <c r="C474" s="82"/>
    </row>
    <row r="475">
      <c r="C475" s="82"/>
    </row>
    <row r="476">
      <c r="C476" s="82"/>
    </row>
    <row r="477">
      <c r="C477" s="82"/>
    </row>
    <row r="478">
      <c r="C478" s="82"/>
    </row>
    <row r="479">
      <c r="C479" s="82"/>
    </row>
    <row r="480">
      <c r="C480" s="82"/>
    </row>
    <row r="481">
      <c r="C481" s="82"/>
    </row>
    <row r="482">
      <c r="C482" s="82"/>
    </row>
    <row r="483">
      <c r="C483" s="82"/>
    </row>
    <row r="484">
      <c r="C484" s="82"/>
    </row>
    <row r="485">
      <c r="C485" s="82"/>
    </row>
    <row r="486">
      <c r="C486" s="82"/>
    </row>
    <row r="487">
      <c r="C487" s="82"/>
    </row>
    <row r="488">
      <c r="C488" s="82"/>
    </row>
    <row r="489">
      <c r="C489" s="82"/>
    </row>
    <row r="490">
      <c r="C490" s="82"/>
    </row>
    <row r="491">
      <c r="C491" s="82"/>
    </row>
    <row r="492">
      <c r="C492" s="82"/>
    </row>
    <row r="493">
      <c r="C493" s="82"/>
    </row>
    <row r="494">
      <c r="C494" s="82"/>
    </row>
    <row r="495">
      <c r="C495" s="82"/>
    </row>
    <row r="496">
      <c r="C496" s="82"/>
    </row>
    <row r="497">
      <c r="C497" s="82"/>
    </row>
    <row r="498">
      <c r="C498" s="82"/>
    </row>
    <row r="499">
      <c r="C499" s="82"/>
    </row>
    <row r="500">
      <c r="C500" s="82"/>
    </row>
    <row r="501">
      <c r="C501" s="82"/>
    </row>
    <row r="502">
      <c r="C502" s="82"/>
    </row>
    <row r="503">
      <c r="C503" s="82"/>
    </row>
    <row r="504">
      <c r="C504" s="82"/>
    </row>
    <row r="505">
      <c r="C505" s="82"/>
    </row>
    <row r="506">
      <c r="C506" s="82"/>
    </row>
    <row r="507">
      <c r="C507" s="82"/>
    </row>
    <row r="508">
      <c r="C508" s="82"/>
    </row>
    <row r="509">
      <c r="C509" s="82"/>
    </row>
    <row r="510">
      <c r="C510" s="82"/>
    </row>
    <row r="511">
      <c r="C511" s="82"/>
    </row>
    <row r="512">
      <c r="C512" s="82"/>
    </row>
    <row r="513">
      <c r="C513" s="82"/>
    </row>
    <row r="514">
      <c r="C514" s="82"/>
    </row>
    <row r="515">
      <c r="C515" s="82"/>
    </row>
    <row r="516">
      <c r="C516" s="82"/>
    </row>
    <row r="517">
      <c r="C517" s="82"/>
    </row>
    <row r="518">
      <c r="C518" s="82"/>
    </row>
    <row r="519">
      <c r="C519" s="82"/>
    </row>
    <row r="520">
      <c r="C520" s="82"/>
    </row>
    <row r="521">
      <c r="C521" s="82"/>
    </row>
    <row r="522">
      <c r="C522" s="82"/>
    </row>
    <row r="523">
      <c r="C523" s="82"/>
    </row>
    <row r="524">
      <c r="C524" s="82"/>
    </row>
    <row r="525">
      <c r="C525" s="82"/>
    </row>
    <row r="526">
      <c r="C526" s="82"/>
    </row>
    <row r="527">
      <c r="C527" s="82"/>
    </row>
    <row r="528">
      <c r="C528" s="82"/>
    </row>
    <row r="529">
      <c r="C529" s="82"/>
    </row>
    <row r="530">
      <c r="C530" s="82"/>
    </row>
    <row r="531">
      <c r="C531" s="82"/>
    </row>
    <row r="532">
      <c r="C532" s="82"/>
    </row>
    <row r="533">
      <c r="C533" s="82"/>
    </row>
    <row r="534">
      <c r="C534" s="82"/>
    </row>
    <row r="535">
      <c r="C535" s="82"/>
    </row>
    <row r="536">
      <c r="C536" s="82"/>
    </row>
    <row r="537">
      <c r="C537" s="82"/>
    </row>
    <row r="538">
      <c r="C538" s="82"/>
    </row>
    <row r="539">
      <c r="C539" s="82"/>
    </row>
    <row r="540">
      <c r="C540" s="82"/>
    </row>
    <row r="541">
      <c r="C541" s="82"/>
    </row>
    <row r="542">
      <c r="C542" s="82"/>
    </row>
    <row r="543">
      <c r="C543" s="82"/>
    </row>
    <row r="544">
      <c r="C544" s="82"/>
    </row>
    <row r="545">
      <c r="C545" s="82"/>
    </row>
    <row r="546">
      <c r="C546" s="82"/>
    </row>
    <row r="547">
      <c r="C547" s="82"/>
    </row>
    <row r="548">
      <c r="C548" s="82"/>
    </row>
    <row r="549">
      <c r="C549" s="82"/>
    </row>
    <row r="550">
      <c r="C550" s="82"/>
    </row>
    <row r="551">
      <c r="C551" s="82"/>
    </row>
    <row r="552">
      <c r="C552" s="82"/>
    </row>
    <row r="553">
      <c r="C553" s="82"/>
    </row>
    <row r="554">
      <c r="C554" s="82"/>
    </row>
    <row r="555">
      <c r="C555" s="82"/>
    </row>
    <row r="556">
      <c r="C556" s="82"/>
    </row>
    <row r="557">
      <c r="C557" s="82"/>
    </row>
    <row r="558">
      <c r="C558" s="82"/>
    </row>
    <row r="559">
      <c r="C559" s="82"/>
    </row>
    <row r="560">
      <c r="C560" s="82"/>
    </row>
    <row r="561">
      <c r="C561" s="82"/>
    </row>
    <row r="562">
      <c r="C562" s="82"/>
    </row>
    <row r="563">
      <c r="C563" s="82"/>
    </row>
    <row r="564">
      <c r="C564" s="82"/>
    </row>
    <row r="565">
      <c r="C565" s="82"/>
    </row>
    <row r="566">
      <c r="C566" s="82"/>
    </row>
    <row r="567">
      <c r="C567" s="82"/>
    </row>
    <row r="568">
      <c r="C568" s="82"/>
    </row>
    <row r="569">
      <c r="C569" s="82"/>
    </row>
    <row r="570">
      <c r="C570" s="82"/>
    </row>
    <row r="571">
      <c r="C571" s="82"/>
    </row>
    <row r="572">
      <c r="C572" s="82"/>
    </row>
    <row r="573">
      <c r="C573" s="82"/>
    </row>
    <row r="574">
      <c r="C574" s="82"/>
    </row>
    <row r="575">
      <c r="C575" s="82"/>
    </row>
    <row r="576">
      <c r="C576" s="82"/>
    </row>
    <row r="577">
      <c r="C577" s="82"/>
    </row>
    <row r="578">
      <c r="C578" s="82"/>
    </row>
    <row r="579">
      <c r="C579" s="82"/>
    </row>
    <row r="580">
      <c r="C580" s="82"/>
    </row>
    <row r="581">
      <c r="C581" s="82"/>
    </row>
    <row r="582">
      <c r="C582" s="82"/>
    </row>
    <row r="583">
      <c r="C583" s="82"/>
    </row>
    <row r="584">
      <c r="C584" s="82"/>
    </row>
    <row r="585">
      <c r="C585" s="82"/>
    </row>
    <row r="586">
      <c r="C586" s="82"/>
    </row>
    <row r="587">
      <c r="C587" s="82"/>
    </row>
    <row r="588">
      <c r="C588" s="82"/>
    </row>
    <row r="589">
      <c r="C589" s="82"/>
    </row>
    <row r="590">
      <c r="C590" s="82"/>
    </row>
    <row r="591">
      <c r="C591" s="82"/>
    </row>
    <row r="592">
      <c r="C592" s="82"/>
    </row>
    <row r="593">
      <c r="C593" s="82"/>
    </row>
    <row r="594">
      <c r="C594" s="82"/>
    </row>
    <row r="595">
      <c r="C595" s="82"/>
    </row>
    <row r="596">
      <c r="C596" s="82"/>
    </row>
    <row r="597">
      <c r="C597" s="82"/>
    </row>
    <row r="598">
      <c r="C598" s="82"/>
    </row>
    <row r="599">
      <c r="C599" s="82"/>
    </row>
    <row r="600">
      <c r="C600" s="82"/>
    </row>
    <row r="601">
      <c r="C601" s="82"/>
    </row>
    <row r="602">
      <c r="C602" s="82"/>
    </row>
    <row r="603">
      <c r="C603" s="82"/>
    </row>
    <row r="604">
      <c r="C604" s="82"/>
    </row>
    <row r="605">
      <c r="C605" s="82"/>
    </row>
    <row r="606">
      <c r="C606" s="82"/>
    </row>
    <row r="607">
      <c r="C607" s="82"/>
    </row>
    <row r="608">
      <c r="C608" s="82"/>
    </row>
    <row r="609">
      <c r="C609" s="82"/>
    </row>
    <row r="610">
      <c r="C610" s="82"/>
    </row>
    <row r="611">
      <c r="C611" s="82"/>
    </row>
    <row r="612">
      <c r="C612" s="82"/>
    </row>
    <row r="613">
      <c r="C613" s="82"/>
    </row>
    <row r="614">
      <c r="C614" s="82"/>
    </row>
    <row r="615">
      <c r="C615" s="82"/>
    </row>
    <row r="616">
      <c r="C616" s="82"/>
    </row>
    <row r="617">
      <c r="C617" s="82"/>
    </row>
    <row r="618">
      <c r="C618" s="82"/>
    </row>
    <row r="619">
      <c r="C619" s="82"/>
    </row>
    <row r="620">
      <c r="C620" s="82"/>
    </row>
    <row r="621">
      <c r="C621" s="82"/>
    </row>
    <row r="622">
      <c r="C622" s="82"/>
    </row>
    <row r="623">
      <c r="C623" s="82"/>
    </row>
    <row r="624">
      <c r="C624" s="82"/>
    </row>
    <row r="625">
      <c r="C625" s="82"/>
    </row>
    <row r="626">
      <c r="C626" s="82"/>
    </row>
    <row r="627">
      <c r="C627" s="82"/>
    </row>
    <row r="628">
      <c r="C628" s="82"/>
    </row>
    <row r="629">
      <c r="C629" s="82"/>
    </row>
    <row r="630">
      <c r="C630" s="82"/>
    </row>
    <row r="631">
      <c r="C631" s="82"/>
    </row>
    <row r="632">
      <c r="C632" s="82"/>
    </row>
    <row r="633">
      <c r="C633" s="82"/>
    </row>
    <row r="634">
      <c r="C634" s="82"/>
    </row>
    <row r="635">
      <c r="C635" s="82"/>
    </row>
    <row r="636">
      <c r="C636" s="82"/>
    </row>
    <row r="637">
      <c r="C637" s="82"/>
    </row>
    <row r="638">
      <c r="C638" s="82"/>
    </row>
    <row r="639">
      <c r="C639" s="82"/>
    </row>
    <row r="640">
      <c r="C640" s="82"/>
    </row>
    <row r="641">
      <c r="C641" s="82"/>
    </row>
    <row r="642">
      <c r="C642" s="82"/>
    </row>
    <row r="643">
      <c r="C643" s="82"/>
    </row>
    <row r="644">
      <c r="C644" s="82"/>
    </row>
    <row r="645">
      <c r="C645" s="82"/>
    </row>
    <row r="646">
      <c r="C646" s="82"/>
    </row>
    <row r="647">
      <c r="C647" s="82"/>
    </row>
    <row r="648">
      <c r="C648" s="82"/>
    </row>
    <row r="649">
      <c r="C649" s="82"/>
    </row>
    <row r="650">
      <c r="C650" s="82"/>
    </row>
    <row r="651">
      <c r="C651" s="82"/>
    </row>
    <row r="652">
      <c r="C652" s="82"/>
    </row>
    <row r="653">
      <c r="C653" s="82"/>
    </row>
    <row r="654">
      <c r="C654" s="82"/>
    </row>
    <row r="655">
      <c r="C655" s="82"/>
    </row>
    <row r="656">
      <c r="C656" s="82"/>
    </row>
    <row r="657">
      <c r="C657" s="82"/>
    </row>
    <row r="658">
      <c r="C658" s="82"/>
    </row>
    <row r="659">
      <c r="C659" s="82"/>
    </row>
    <row r="660">
      <c r="C660" s="82"/>
    </row>
    <row r="661">
      <c r="C661" s="82"/>
    </row>
    <row r="662">
      <c r="C662" s="82"/>
    </row>
    <row r="663">
      <c r="C663" s="82"/>
    </row>
    <row r="664">
      <c r="C664" s="82"/>
    </row>
    <row r="665">
      <c r="C665" s="82"/>
    </row>
    <row r="666">
      <c r="C666" s="82"/>
    </row>
    <row r="667">
      <c r="C667" s="82"/>
    </row>
    <row r="668">
      <c r="C668" s="82"/>
    </row>
    <row r="669">
      <c r="C669" s="82"/>
    </row>
    <row r="670">
      <c r="C670" s="82"/>
    </row>
    <row r="671">
      <c r="C671" s="82"/>
    </row>
    <row r="672">
      <c r="C672" s="82"/>
    </row>
    <row r="673">
      <c r="C673" s="82"/>
    </row>
    <row r="674">
      <c r="C674" s="82"/>
    </row>
    <row r="675">
      <c r="C675" s="82"/>
    </row>
    <row r="676">
      <c r="C676" s="82"/>
    </row>
    <row r="677">
      <c r="C677" s="82"/>
    </row>
    <row r="678">
      <c r="C678" s="82"/>
    </row>
    <row r="679">
      <c r="C679" s="82"/>
    </row>
    <row r="680">
      <c r="C680" s="82"/>
    </row>
    <row r="681">
      <c r="C681" s="82"/>
    </row>
    <row r="682">
      <c r="C682" s="82"/>
    </row>
    <row r="683">
      <c r="C683" s="82"/>
    </row>
    <row r="684">
      <c r="C684" s="82"/>
    </row>
    <row r="685">
      <c r="C685" s="82"/>
    </row>
    <row r="686">
      <c r="C686" s="82"/>
    </row>
    <row r="687">
      <c r="C687" s="82"/>
    </row>
    <row r="688">
      <c r="C688" s="82"/>
    </row>
    <row r="689">
      <c r="C689" s="82"/>
    </row>
    <row r="690">
      <c r="C690" s="82"/>
    </row>
    <row r="691">
      <c r="C691" s="82"/>
    </row>
    <row r="692">
      <c r="C692" s="82"/>
    </row>
    <row r="693">
      <c r="C693" s="82"/>
    </row>
    <row r="694">
      <c r="C694" s="82"/>
    </row>
    <row r="695">
      <c r="C695" s="82"/>
    </row>
    <row r="696">
      <c r="C696" s="82"/>
    </row>
    <row r="697">
      <c r="C697" s="82"/>
    </row>
    <row r="698">
      <c r="C698" s="82"/>
    </row>
    <row r="699">
      <c r="C699" s="82"/>
    </row>
    <row r="700">
      <c r="C700" s="82"/>
    </row>
    <row r="701">
      <c r="C701" s="82"/>
    </row>
    <row r="702">
      <c r="C702" s="82"/>
    </row>
    <row r="703">
      <c r="C703" s="82"/>
    </row>
    <row r="704">
      <c r="C704" s="82"/>
    </row>
    <row r="705">
      <c r="C705" s="82"/>
    </row>
    <row r="706">
      <c r="C706" s="82"/>
    </row>
    <row r="707">
      <c r="C707" s="82"/>
    </row>
    <row r="708">
      <c r="C708" s="82"/>
    </row>
    <row r="709">
      <c r="C709" s="82"/>
    </row>
    <row r="710">
      <c r="C710" s="82"/>
    </row>
    <row r="711">
      <c r="C711" s="82"/>
    </row>
    <row r="712">
      <c r="C712" s="82"/>
    </row>
    <row r="713">
      <c r="C713" s="82"/>
    </row>
    <row r="714">
      <c r="C714" s="82"/>
    </row>
    <row r="715">
      <c r="C715" s="82"/>
    </row>
    <row r="716">
      <c r="C716" s="82"/>
    </row>
    <row r="717">
      <c r="C717" s="82"/>
    </row>
    <row r="718">
      <c r="C718" s="82"/>
    </row>
    <row r="719">
      <c r="C719" s="82"/>
    </row>
    <row r="720">
      <c r="C720" s="82"/>
    </row>
    <row r="721">
      <c r="C721" s="82"/>
    </row>
    <row r="722">
      <c r="C722" s="82"/>
    </row>
    <row r="723">
      <c r="C723" s="82"/>
    </row>
    <row r="724">
      <c r="C724" s="82"/>
    </row>
    <row r="725">
      <c r="C725" s="82"/>
    </row>
    <row r="726">
      <c r="C726" s="82"/>
    </row>
    <row r="727">
      <c r="C727" s="82"/>
    </row>
    <row r="728">
      <c r="C728" s="82"/>
    </row>
    <row r="729">
      <c r="C729" s="82"/>
    </row>
    <row r="730">
      <c r="C730" s="82"/>
    </row>
    <row r="731">
      <c r="C731" s="82"/>
    </row>
    <row r="732">
      <c r="C732" s="82"/>
    </row>
    <row r="733">
      <c r="C733" s="82"/>
    </row>
    <row r="734">
      <c r="C734" s="82"/>
    </row>
    <row r="735">
      <c r="C735" s="82"/>
    </row>
    <row r="736">
      <c r="C736" s="82"/>
    </row>
    <row r="737">
      <c r="C737" s="82"/>
    </row>
    <row r="738">
      <c r="C738" s="82"/>
    </row>
    <row r="739">
      <c r="C739" s="82"/>
    </row>
    <row r="740">
      <c r="C740" s="82"/>
    </row>
    <row r="741">
      <c r="C741" s="82"/>
    </row>
    <row r="742">
      <c r="C742" s="82"/>
    </row>
    <row r="743">
      <c r="C743" s="82"/>
    </row>
    <row r="744">
      <c r="C744" s="82"/>
    </row>
    <row r="745">
      <c r="C745" s="82"/>
    </row>
    <row r="746">
      <c r="C746" s="82"/>
    </row>
    <row r="747">
      <c r="C747" s="82"/>
    </row>
    <row r="748">
      <c r="C748" s="82"/>
    </row>
    <row r="749">
      <c r="C749" s="82"/>
    </row>
    <row r="750">
      <c r="C750" s="82"/>
    </row>
    <row r="751">
      <c r="C751" s="82"/>
    </row>
    <row r="752">
      <c r="C752" s="82"/>
    </row>
    <row r="753">
      <c r="C753" s="82"/>
    </row>
    <row r="754">
      <c r="C754" s="82"/>
    </row>
    <row r="755">
      <c r="C755" s="82"/>
    </row>
    <row r="756">
      <c r="C756" s="82"/>
    </row>
    <row r="757">
      <c r="C757" s="82"/>
    </row>
    <row r="758">
      <c r="C758" s="82"/>
    </row>
    <row r="759">
      <c r="C759" s="82"/>
    </row>
    <row r="760">
      <c r="C760" s="82"/>
    </row>
    <row r="761">
      <c r="C761" s="82"/>
    </row>
    <row r="762">
      <c r="C762" s="82"/>
    </row>
    <row r="763">
      <c r="C763" s="82"/>
    </row>
    <row r="764">
      <c r="C764" s="82"/>
    </row>
    <row r="765">
      <c r="C765" s="82"/>
    </row>
    <row r="766">
      <c r="C766" s="82"/>
    </row>
    <row r="767">
      <c r="C767" s="82"/>
    </row>
    <row r="768">
      <c r="C768" s="82"/>
    </row>
    <row r="769">
      <c r="C769" s="82"/>
    </row>
    <row r="770">
      <c r="C770" s="82"/>
    </row>
    <row r="771">
      <c r="C771" s="82"/>
    </row>
    <row r="772">
      <c r="C772" s="82"/>
    </row>
    <row r="773">
      <c r="C773" s="82"/>
    </row>
    <row r="774">
      <c r="C774" s="82"/>
    </row>
    <row r="775">
      <c r="C775" s="82"/>
    </row>
    <row r="776">
      <c r="C776" s="82"/>
    </row>
    <row r="777">
      <c r="C777" s="82"/>
    </row>
    <row r="778">
      <c r="C778" s="82"/>
    </row>
    <row r="779">
      <c r="C779" s="82"/>
    </row>
    <row r="780">
      <c r="C780" s="82"/>
    </row>
    <row r="781">
      <c r="C781" s="82"/>
    </row>
    <row r="782">
      <c r="C782" s="82"/>
    </row>
    <row r="783">
      <c r="C783" s="82"/>
    </row>
    <row r="784">
      <c r="C784" s="82"/>
    </row>
    <row r="785">
      <c r="C785" s="82"/>
    </row>
    <row r="786">
      <c r="C786" s="82"/>
    </row>
    <row r="787">
      <c r="C787" s="82"/>
    </row>
    <row r="788">
      <c r="C788" s="82"/>
    </row>
    <row r="789">
      <c r="C789" s="82"/>
    </row>
    <row r="790">
      <c r="C790" s="82"/>
    </row>
    <row r="791">
      <c r="C791" s="82"/>
    </row>
    <row r="792">
      <c r="C792" s="82"/>
    </row>
    <row r="793">
      <c r="C793" s="82"/>
    </row>
    <row r="794">
      <c r="C794" s="82"/>
    </row>
    <row r="795">
      <c r="C795" s="82"/>
    </row>
    <row r="796">
      <c r="C796" s="82"/>
    </row>
    <row r="797">
      <c r="C797" s="82"/>
    </row>
    <row r="798">
      <c r="C798" s="82"/>
    </row>
    <row r="799">
      <c r="C799" s="82"/>
    </row>
    <row r="800">
      <c r="C800" s="82"/>
    </row>
    <row r="801">
      <c r="C801" s="82"/>
    </row>
    <row r="802">
      <c r="C802" s="82"/>
    </row>
    <row r="803">
      <c r="C803" s="82"/>
    </row>
    <row r="804">
      <c r="C804" s="82"/>
    </row>
    <row r="805">
      <c r="C805" s="82"/>
    </row>
    <row r="806">
      <c r="C806" s="82"/>
    </row>
    <row r="807">
      <c r="C807" s="82"/>
    </row>
    <row r="808">
      <c r="C808" s="82"/>
    </row>
    <row r="809">
      <c r="C809" s="82"/>
    </row>
    <row r="810">
      <c r="C810" s="82"/>
    </row>
    <row r="811">
      <c r="C811" s="82"/>
    </row>
    <row r="812">
      <c r="C812" s="82"/>
    </row>
    <row r="813">
      <c r="C813" s="82"/>
    </row>
    <row r="814">
      <c r="C814" s="82"/>
    </row>
    <row r="815">
      <c r="C815" s="82"/>
    </row>
    <row r="816">
      <c r="C816" s="82"/>
    </row>
    <row r="817">
      <c r="C817" s="82"/>
    </row>
    <row r="818">
      <c r="C818" s="82"/>
    </row>
    <row r="819">
      <c r="C819" s="82"/>
    </row>
    <row r="820">
      <c r="C820" s="82"/>
    </row>
    <row r="821">
      <c r="C821" s="82"/>
    </row>
    <row r="822">
      <c r="C822" s="82"/>
    </row>
    <row r="823">
      <c r="C823" s="82"/>
    </row>
    <row r="824">
      <c r="C824" s="82"/>
    </row>
    <row r="825">
      <c r="C825" s="82"/>
    </row>
    <row r="826">
      <c r="C826" s="82"/>
    </row>
    <row r="827">
      <c r="C827" s="82"/>
    </row>
    <row r="828">
      <c r="C828" s="82"/>
    </row>
    <row r="829">
      <c r="C829" s="82"/>
    </row>
    <row r="830">
      <c r="C830" s="82"/>
    </row>
    <row r="831">
      <c r="C831" s="82"/>
    </row>
    <row r="832">
      <c r="C832" s="82"/>
    </row>
    <row r="833">
      <c r="C833" s="82"/>
    </row>
    <row r="834">
      <c r="C834" s="82"/>
    </row>
    <row r="835">
      <c r="C835" s="82"/>
    </row>
    <row r="836">
      <c r="C836" s="82"/>
    </row>
    <row r="837">
      <c r="C837" s="82"/>
    </row>
    <row r="838">
      <c r="C838" s="82"/>
    </row>
    <row r="839">
      <c r="C839" s="82"/>
    </row>
    <row r="840">
      <c r="C840" s="82"/>
    </row>
    <row r="841">
      <c r="C841" s="82"/>
    </row>
    <row r="842">
      <c r="C842" s="82"/>
    </row>
    <row r="843">
      <c r="C843" s="82"/>
    </row>
    <row r="844">
      <c r="C844" s="82"/>
    </row>
    <row r="845">
      <c r="C845" s="82"/>
    </row>
    <row r="846">
      <c r="C846" s="82"/>
    </row>
    <row r="847">
      <c r="C847" s="82"/>
    </row>
    <row r="848">
      <c r="C848" s="82"/>
    </row>
    <row r="849">
      <c r="C849" s="82"/>
    </row>
    <row r="850">
      <c r="C850" s="82"/>
    </row>
    <row r="851">
      <c r="C851" s="82"/>
    </row>
    <row r="852">
      <c r="C852" s="82"/>
    </row>
    <row r="853">
      <c r="C853" s="82"/>
    </row>
    <row r="854">
      <c r="C854" s="82"/>
    </row>
    <row r="855">
      <c r="C855" s="82"/>
    </row>
    <row r="856">
      <c r="C856" s="82"/>
    </row>
    <row r="857">
      <c r="C857" s="82"/>
    </row>
    <row r="858">
      <c r="C858" s="82"/>
    </row>
    <row r="859">
      <c r="C859" s="82"/>
    </row>
    <row r="860">
      <c r="C860" s="82"/>
    </row>
    <row r="861">
      <c r="C861" s="82"/>
    </row>
    <row r="862">
      <c r="C862" s="82"/>
    </row>
    <row r="863">
      <c r="C863" s="82"/>
    </row>
    <row r="864">
      <c r="C864" s="82"/>
    </row>
    <row r="865">
      <c r="C865" s="82"/>
    </row>
    <row r="866">
      <c r="C866" s="82"/>
    </row>
    <row r="867">
      <c r="C867" s="82"/>
    </row>
    <row r="868">
      <c r="C868" s="82"/>
    </row>
    <row r="869">
      <c r="C869" s="82"/>
    </row>
    <row r="870">
      <c r="C870" s="82"/>
    </row>
    <row r="871">
      <c r="C871" s="82"/>
    </row>
    <row r="872">
      <c r="C872" s="82"/>
    </row>
    <row r="873">
      <c r="C873" s="82"/>
    </row>
    <row r="874">
      <c r="C874" s="82"/>
    </row>
    <row r="875">
      <c r="C875" s="82"/>
    </row>
    <row r="876">
      <c r="C876" s="82"/>
    </row>
    <row r="877">
      <c r="C877" s="82"/>
    </row>
    <row r="878">
      <c r="C878" s="82"/>
    </row>
    <row r="879">
      <c r="C879" s="82"/>
    </row>
    <row r="880">
      <c r="C880" s="82"/>
    </row>
    <row r="881">
      <c r="C881" s="82"/>
    </row>
    <row r="882">
      <c r="C882" s="82"/>
    </row>
    <row r="883">
      <c r="C883" s="82"/>
    </row>
    <row r="884">
      <c r="C884" s="82"/>
    </row>
    <row r="885">
      <c r="C885" s="82"/>
    </row>
    <row r="886">
      <c r="C886" s="82"/>
    </row>
    <row r="887">
      <c r="C887" s="82"/>
    </row>
    <row r="888">
      <c r="C888" s="82"/>
    </row>
    <row r="889">
      <c r="C889" s="82"/>
    </row>
    <row r="890">
      <c r="C890" s="82"/>
    </row>
    <row r="891">
      <c r="C891" s="82"/>
    </row>
    <row r="892">
      <c r="C892" s="82"/>
    </row>
    <row r="893">
      <c r="C893" s="82"/>
    </row>
    <row r="894">
      <c r="C894" s="82"/>
    </row>
    <row r="895">
      <c r="C895" s="82"/>
    </row>
    <row r="896">
      <c r="C896" s="82"/>
    </row>
    <row r="897">
      <c r="C897" s="82"/>
    </row>
    <row r="898">
      <c r="C898" s="82"/>
    </row>
    <row r="899">
      <c r="C899" s="82"/>
    </row>
    <row r="900">
      <c r="C900" s="82"/>
    </row>
    <row r="901">
      <c r="C901" s="82"/>
    </row>
    <row r="902">
      <c r="C902" s="82"/>
    </row>
    <row r="903">
      <c r="C903" s="82"/>
    </row>
    <row r="904">
      <c r="C904" s="82"/>
    </row>
    <row r="905">
      <c r="C905" s="82"/>
    </row>
    <row r="906">
      <c r="C906" s="82"/>
    </row>
    <row r="907">
      <c r="C907" s="82"/>
    </row>
    <row r="908">
      <c r="C908" s="82"/>
    </row>
    <row r="909">
      <c r="C909" s="82"/>
    </row>
    <row r="910">
      <c r="C910" s="82"/>
    </row>
    <row r="911">
      <c r="C911" s="82"/>
    </row>
    <row r="912">
      <c r="C912" s="82"/>
    </row>
    <row r="913">
      <c r="C913" s="82"/>
    </row>
    <row r="914">
      <c r="C914" s="82"/>
    </row>
    <row r="915">
      <c r="C915" s="82"/>
    </row>
    <row r="916">
      <c r="C916" s="82"/>
    </row>
    <row r="917">
      <c r="C917" s="82"/>
    </row>
    <row r="918">
      <c r="C918" s="82"/>
    </row>
    <row r="919">
      <c r="C919" s="82"/>
    </row>
    <row r="920">
      <c r="C920" s="82"/>
    </row>
    <row r="921">
      <c r="C921" s="82"/>
    </row>
    <row r="922">
      <c r="C922" s="82"/>
    </row>
    <row r="923">
      <c r="C923" s="82"/>
    </row>
    <row r="924">
      <c r="C924" s="82"/>
    </row>
    <row r="925">
      <c r="C925" s="82"/>
    </row>
    <row r="926">
      <c r="C926" s="82"/>
    </row>
    <row r="927">
      <c r="C927" s="82"/>
    </row>
    <row r="928">
      <c r="C928" s="82"/>
    </row>
    <row r="929">
      <c r="C929" s="82"/>
    </row>
    <row r="930">
      <c r="C930" s="82"/>
    </row>
    <row r="931">
      <c r="C931" s="82"/>
    </row>
    <row r="932">
      <c r="C932" s="82"/>
    </row>
    <row r="933">
      <c r="C933" s="82"/>
    </row>
    <row r="934">
      <c r="C934" s="82"/>
    </row>
    <row r="935">
      <c r="C935" s="82"/>
    </row>
    <row r="936">
      <c r="C936" s="82"/>
    </row>
    <row r="937">
      <c r="C937" s="82"/>
    </row>
    <row r="938">
      <c r="C938" s="82"/>
    </row>
    <row r="939">
      <c r="C939" s="82"/>
    </row>
    <row r="940">
      <c r="C940" s="82"/>
    </row>
    <row r="941">
      <c r="C941" s="82"/>
    </row>
    <row r="942">
      <c r="C942" s="82"/>
    </row>
    <row r="943">
      <c r="C943" s="82"/>
    </row>
    <row r="944">
      <c r="C944" s="82"/>
    </row>
    <row r="945">
      <c r="C945" s="82"/>
    </row>
    <row r="946">
      <c r="C946" s="82"/>
    </row>
    <row r="947">
      <c r="C947" s="82"/>
    </row>
    <row r="948">
      <c r="C948" s="82"/>
    </row>
    <row r="949">
      <c r="C949" s="82"/>
    </row>
    <row r="950">
      <c r="C950" s="82"/>
    </row>
    <row r="951">
      <c r="C951" s="82"/>
    </row>
    <row r="952">
      <c r="C952" s="82"/>
    </row>
    <row r="953">
      <c r="C953" s="82"/>
    </row>
    <row r="954">
      <c r="C954" s="82"/>
    </row>
    <row r="955">
      <c r="C955" s="82"/>
    </row>
    <row r="956">
      <c r="C956" s="82"/>
    </row>
    <row r="957">
      <c r="C957" s="82"/>
    </row>
    <row r="958">
      <c r="C958" s="82"/>
    </row>
    <row r="959">
      <c r="C959" s="82"/>
    </row>
    <row r="960">
      <c r="C960" s="82"/>
    </row>
    <row r="961">
      <c r="C961" s="82"/>
    </row>
    <row r="962">
      <c r="C962" s="82"/>
    </row>
    <row r="963">
      <c r="C963" s="82"/>
    </row>
    <row r="964">
      <c r="C964" s="82"/>
    </row>
    <row r="965">
      <c r="C965" s="82"/>
    </row>
    <row r="966">
      <c r="C966" s="82"/>
    </row>
    <row r="967">
      <c r="C967" s="82"/>
    </row>
    <row r="968">
      <c r="C968" s="82"/>
    </row>
    <row r="969">
      <c r="C969" s="82"/>
    </row>
    <row r="970">
      <c r="C970" s="82"/>
    </row>
    <row r="971">
      <c r="C971" s="82"/>
    </row>
    <row r="972">
      <c r="C972" s="82"/>
    </row>
    <row r="973">
      <c r="C973" s="82"/>
    </row>
    <row r="974">
      <c r="C974" s="82"/>
    </row>
    <row r="975">
      <c r="C975" s="82"/>
    </row>
    <row r="976">
      <c r="C976" s="82"/>
    </row>
    <row r="977">
      <c r="C977" s="82"/>
    </row>
    <row r="978">
      <c r="C978" s="82"/>
    </row>
    <row r="979">
      <c r="C979" s="82"/>
    </row>
    <row r="980">
      <c r="C980" s="82"/>
    </row>
    <row r="981">
      <c r="C981" s="82"/>
    </row>
    <row r="982">
      <c r="C982" s="82"/>
    </row>
    <row r="983">
      <c r="C983" s="82"/>
    </row>
    <row r="984">
      <c r="C984" s="82"/>
    </row>
    <row r="985">
      <c r="C985" s="82"/>
    </row>
    <row r="986">
      <c r="C986" s="82"/>
    </row>
    <row r="987">
      <c r="C987" s="82"/>
    </row>
    <row r="988">
      <c r="C988" s="82"/>
    </row>
    <row r="989">
      <c r="C989" s="82"/>
    </row>
    <row r="990">
      <c r="C990" s="82"/>
    </row>
    <row r="991">
      <c r="C991" s="82"/>
    </row>
    <row r="992">
      <c r="C992" s="82"/>
    </row>
    <row r="993">
      <c r="C993" s="82"/>
    </row>
    <row r="994">
      <c r="C994" s="82"/>
    </row>
    <row r="995">
      <c r="C995" s="82"/>
    </row>
    <row r="996">
      <c r="C996" s="82"/>
    </row>
    <row r="997">
      <c r="C997" s="82"/>
    </row>
    <row r="998">
      <c r="C998" s="82"/>
    </row>
    <row r="999">
      <c r="C999" s="82"/>
    </row>
    <row r="1000">
      <c r="C1000" s="82"/>
    </row>
    <row r="1001">
      <c r="C1001" s="82"/>
    </row>
    <row r="1002">
      <c r="C1002" s="82"/>
    </row>
  </sheetData>
  <conditionalFormatting sqref="A11:A13">
    <cfRule type="expression" dxfId="0" priority="1">
      <formula>COUNTIF(A$2:$B11, A11) &gt; 1</formula>
    </cfRule>
  </conditionalFormatting>
  <conditionalFormatting sqref="B3:B100">
    <cfRule type="expression" dxfId="1" priority="2">
      <formula>$D3&gt;$D$1</formula>
    </cfRule>
  </conditionalFormatting>
  <conditionalFormatting sqref="A3:A100">
    <cfRule type="expression" dxfId="0" priority="3">
      <formula>COUNTIF($A$3:A3, A3) &gt; 1</formula>
    </cfRule>
  </conditionalFormatting>
  <conditionalFormatting sqref="A3:A100">
    <cfRule type="expression" dxfId="0" priority="4">
      <formula>COUNTIF(INDIRECT("DB!C:C"), A3)&gt;0
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17.38"/>
    <col customWidth="1" min="4" max="4" width="14.25"/>
    <col customWidth="1" min="5" max="5" width="20.5"/>
  </cols>
  <sheetData>
    <row r="1">
      <c r="A1" s="1" t="s">
        <v>647</v>
      </c>
      <c r="B1" s="80">
        <f>COUNTIF(A3:A1002,"*L4*")</f>
        <v>1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8" t="str">
        <f>IFERROR(__xludf.DUMMYFUNCTION("QUERY(Master!A2:B1002, ""SELECT A, B WHERE A STARTS WITH 'L4-007'"", 0)"),"L4-007-049E0")</f>
        <v>L4-007-049E0</v>
      </c>
      <c r="B3" s="8" t="str">
        <f>IFERROR(__xludf.DUMMYFUNCTION("""COMPUTED_VALUE"""),"Tañong Integrated School")</f>
        <v>Tañong Integrated School</v>
      </c>
      <c r="C3" s="82" t="str">
        <f t="array" ref="C3">XLOOKUP(A3,DB!C:C,DB!K:K)</f>
        <v>Replaced AP</v>
      </c>
      <c r="D3" s="85">
        <f t="array" ref="D3">XLOOKUP(A3,DB!C:C,DB!B:B )</f>
        <v>46181</v>
      </c>
      <c r="E3" s="82" t="str">
        <f t="array" ref="E3">XLOOKUP(A3,DB!C:C,DB!F:F,"" )</f>
        <v>14.658627, 120.953033</v>
      </c>
    </row>
    <row r="4">
      <c r="A4" s="8"/>
      <c r="B4" s="8"/>
      <c r="C4" s="82" t="str">
        <f t="array" ref="C4">XLOOKUP(A4,DB!C:C,DB!K:K)</f>
        <v>#N/A</v>
      </c>
      <c r="D4" s="85" t="str">
        <f t="array" ref="D4">XLOOKUP(A4,DB!C:C,DB!B:B )</f>
        <v>#N/A</v>
      </c>
      <c r="E4" s="82" t="str">
        <f t="array" ref="E4">XLOOKUP(A4,DB!C:C,DB!F:F,"" )</f>
        <v/>
      </c>
    </row>
    <row r="5">
      <c r="A5" s="8"/>
      <c r="B5" s="8"/>
      <c r="C5" s="82" t="str">
        <f t="array" ref="C5">XLOOKUP(A5,DB!C:C,DB!K:K)</f>
        <v>#N/A</v>
      </c>
      <c r="D5" s="85" t="str">
        <f t="array" ref="D5">XLOOKUP(A5,DB!C:C,DB!B:B )</f>
        <v>#N/A</v>
      </c>
      <c r="E5" s="82" t="str">
        <f t="array" ref="E5">XLOOKUP(A5,DB!C:C,DB!F:F,"" )</f>
        <v/>
      </c>
    </row>
    <row r="6">
      <c r="A6" s="6"/>
      <c r="B6" s="6"/>
      <c r="C6" s="82" t="str">
        <f t="array" ref="C6">XLOOKUP(A6,DB!C:C,DB!K:K)</f>
        <v>#N/A</v>
      </c>
      <c r="D6" s="85" t="str">
        <f t="array" ref="D6">XLOOKUP(A6,DB!C:C,DB!B:B )</f>
        <v>#N/A</v>
      </c>
      <c r="E6" s="82" t="str">
        <f t="array" ref="E6">XLOOKUP(A6,DB!C:C,DB!F:F,"" )</f>
        <v/>
      </c>
    </row>
    <row r="7">
      <c r="A7" s="4"/>
      <c r="C7" s="82" t="str">
        <f t="array" ref="C7">XLOOKUP(A7,DB!C:C,DB!K:K)</f>
        <v>#N/A</v>
      </c>
      <c r="D7" s="85" t="str">
        <f t="array" ref="D7">XLOOKUP(A7,DB!C:C,DB!B:B )</f>
        <v>#N/A</v>
      </c>
      <c r="E7" s="82" t="str">
        <f t="array" ref="E7">XLOOKUP(A7,DB!C:C,DB!F:F,"" )</f>
        <v/>
      </c>
    </row>
    <row r="8">
      <c r="A8" s="4"/>
      <c r="C8" s="82" t="str">
        <f t="array" ref="C8">XLOOKUP(A8,DB!C:C,DB!K:K)</f>
        <v>#N/A</v>
      </c>
      <c r="D8" s="85" t="str">
        <f t="array" ref="D8">XLOOKUP(A8,DB!C:C,DB!B:B )</f>
        <v>#N/A</v>
      </c>
      <c r="E8" s="82" t="str">
        <f t="array" ref="E8">XLOOKUP(A8,DB!C:C,DB!F:F,"" )</f>
        <v/>
      </c>
    </row>
    <row r="9">
      <c r="A9" s="4"/>
      <c r="C9" s="82" t="str">
        <f t="array" ref="C9">XLOOKUP(A9,DB!C:C,DB!K:K)</f>
        <v>#N/A</v>
      </c>
      <c r="D9" s="85" t="str">
        <f t="array" ref="D9">XLOOKUP(A9,DB!C:C,DB!B:B )</f>
        <v>#N/A</v>
      </c>
      <c r="E9" s="82" t="str">
        <f t="array" ref="E9">XLOOKUP(A9,DB!C:C,DB!F:F,"" )</f>
        <v/>
      </c>
    </row>
    <row r="10">
      <c r="A10" s="4"/>
      <c r="C10" s="82" t="str">
        <f t="array" ref="C10">XLOOKUP(A10,DB!C:C,DB!K:K)</f>
        <v>#N/A</v>
      </c>
      <c r="D10" s="85" t="str">
        <f t="array" ref="D10">XLOOKUP(A10,DB!C:C,DB!B:B )</f>
        <v>#N/A</v>
      </c>
      <c r="E10" s="82" t="str">
        <f t="array" ref="E10">XLOOKUP(A10,DB!C:C,DB!F:F,"" )</f>
        <v/>
      </c>
    </row>
    <row r="11">
      <c r="A11" s="4"/>
      <c r="C11" s="82" t="str">
        <f t="array" ref="C11">XLOOKUP(A11,DB!C:C,DB!K:K)</f>
        <v>#N/A</v>
      </c>
      <c r="D11" s="85" t="str">
        <f t="array" ref="D11">XLOOKUP(A11,DB!C:C,DB!B:B )</f>
        <v>#N/A</v>
      </c>
      <c r="E11" s="82" t="str">
        <f t="array" ref="E11">XLOOKUP(A11,DB!C:C,DB!F:F,"" )</f>
        <v/>
      </c>
    </row>
    <row r="12">
      <c r="A12" s="4"/>
      <c r="C12" s="82" t="str">
        <f t="array" ref="C12">XLOOKUP(A12,DB!C:C,DB!K:K)</f>
        <v>#N/A</v>
      </c>
      <c r="D12" s="85" t="str">
        <f t="array" ref="D12">XLOOKUP(A12,DB!C:C,DB!B:B )</f>
        <v>#N/A</v>
      </c>
    </row>
    <row r="13">
      <c r="A13" s="4"/>
      <c r="C13" s="82" t="str">
        <f t="array" ref="C13">XLOOKUP(A13,DB!C:C,DB!K:K)</f>
        <v>#N/A</v>
      </c>
      <c r="D13" s="85" t="str">
        <f t="array" ref="D13">XLOOKUP(A13,DB!C:C,DB!B:B )</f>
        <v>#N/A</v>
      </c>
    </row>
    <row r="14">
      <c r="A14" s="4"/>
      <c r="C14" s="82" t="str">
        <f t="array" ref="C14">XLOOKUP(A14,DB!C:C,DB!K:K)</f>
        <v>#N/A</v>
      </c>
      <c r="D14" s="85" t="str">
        <f t="array" ref="D14">XLOOKUP(A14,DB!C:C,DB!B:B )</f>
        <v>#N/A</v>
      </c>
    </row>
    <row r="15">
      <c r="A15" s="4"/>
      <c r="C15" s="82" t="str">
        <f t="array" ref="C15">XLOOKUP(A15,DB!C:C,DB!K:K)</f>
        <v>#N/A</v>
      </c>
      <c r="D15" s="85" t="str">
        <f t="array" ref="D15">XLOOKUP(A15,DB!C:C,DB!B:B )</f>
        <v>#N/A</v>
      </c>
    </row>
    <row r="16">
      <c r="A16" s="4"/>
      <c r="C16" s="82" t="str">
        <f t="array" ref="C16">XLOOKUP(A16,DB!C:C,DB!K:K)</f>
        <v>#N/A</v>
      </c>
      <c r="D16" s="85" t="str">
        <f t="array" ref="D16">XLOOKUP(A16,DB!C:C,DB!B:B )</f>
        <v>#N/A</v>
      </c>
    </row>
    <row r="17">
      <c r="A17" s="4"/>
      <c r="C17" s="82" t="str">
        <f t="array" ref="C17">XLOOKUP(A17,DB!C:C,DB!K:K)</f>
        <v>#N/A</v>
      </c>
      <c r="D17" s="85" t="str">
        <f t="array" ref="D17">XLOOKUP(A17,DB!C:C,DB!B:B )</f>
        <v>#N/A</v>
      </c>
    </row>
    <row r="18">
      <c r="A18" s="4"/>
      <c r="C18" s="82" t="str">
        <f t="array" ref="C18">XLOOKUP(A18,DB!C:C,DB!K:K)</f>
        <v>#N/A</v>
      </c>
      <c r="D18" s="85" t="str">
        <f t="array" ref="D18">XLOOKUP(A18,DB!C:C,DB!B:B )</f>
        <v>#N/A</v>
      </c>
    </row>
    <row r="19">
      <c r="A19" s="4"/>
      <c r="C19" s="82" t="str">
        <f t="array" ref="C19">XLOOKUP(A19,DB!C:C,DB!K:K)</f>
        <v>#N/A</v>
      </c>
      <c r="D19" s="85" t="str">
        <f t="array" ref="D19">XLOOKUP(A19,DB!C:C,DB!B:B )</f>
        <v>#N/A</v>
      </c>
    </row>
    <row r="20">
      <c r="A20" s="4"/>
      <c r="C20" s="82" t="str">
        <f t="array" ref="C20">XLOOKUP(A20,DB!C:C,DB!K:K)</f>
        <v>#N/A</v>
      </c>
      <c r="D20" s="85" t="str">
        <f t="array" ref="D20">XLOOKUP(A20,DB!C:C,DB!B:B )</f>
        <v>#N/A</v>
      </c>
    </row>
    <row r="21">
      <c r="A21" s="4"/>
      <c r="C21" s="82"/>
    </row>
    <row r="22">
      <c r="A22" s="4"/>
      <c r="C22" s="82"/>
    </row>
    <row r="23">
      <c r="A23" s="4"/>
      <c r="C23" s="82"/>
    </row>
    <row r="24">
      <c r="A24" s="4"/>
      <c r="C24" s="82"/>
    </row>
    <row r="25">
      <c r="A25" s="4"/>
      <c r="C25" s="82"/>
    </row>
    <row r="26">
      <c r="A26" s="4"/>
      <c r="C26" s="82"/>
    </row>
    <row r="27">
      <c r="A27" s="4"/>
      <c r="C27" s="82"/>
    </row>
    <row r="28">
      <c r="A28" s="4"/>
      <c r="C28" s="82"/>
    </row>
    <row r="29">
      <c r="A29" s="4"/>
      <c r="C29" s="82"/>
    </row>
    <row r="30">
      <c r="A30" s="4"/>
      <c r="C30" s="82"/>
    </row>
    <row r="31">
      <c r="A31" s="4"/>
      <c r="C31" s="82"/>
    </row>
    <row r="32">
      <c r="A32" s="4"/>
      <c r="C32" s="82"/>
    </row>
    <row r="33">
      <c r="A33" s="4"/>
      <c r="C33" s="82"/>
    </row>
    <row r="34">
      <c r="A34" s="4"/>
      <c r="C34" s="82"/>
    </row>
    <row r="35">
      <c r="A35" s="4"/>
      <c r="C35" s="82"/>
    </row>
    <row r="36">
      <c r="A36" s="4"/>
      <c r="C36" s="82"/>
    </row>
    <row r="37">
      <c r="A37" s="4"/>
      <c r="C37" s="82"/>
    </row>
    <row r="38">
      <c r="A38" s="4"/>
      <c r="C38" s="82"/>
    </row>
    <row r="39">
      <c r="A39" s="4"/>
      <c r="C39" s="82"/>
    </row>
    <row r="40">
      <c r="A40" s="4"/>
      <c r="C40" s="82"/>
    </row>
    <row r="41">
      <c r="A41" s="4"/>
      <c r="C41" s="82"/>
    </row>
    <row r="42">
      <c r="A42" s="4"/>
      <c r="C42" s="82"/>
    </row>
    <row r="43">
      <c r="A43" s="4"/>
      <c r="C43" s="82"/>
    </row>
    <row r="44">
      <c r="A44" s="4"/>
      <c r="C44" s="82"/>
    </row>
    <row r="45">
      <c r="A45" s="4"/>
      <c r="C45" s="82"/>
    </row>
    <row r="46">
      <c r="A46" s="4"/>
      <c r="C46" s="82"/>
    </row>
    <row r="47">
      <c r="A47" s="4"/>
      <c r="C47" s="82"/>
    </row>
    <row r="48">
      <c r="A48" s="4"/>
      <c r="C48" s="82"/>
    </row>
    <row r="49">
      <c r="A49" s="4"/>
      <c r="C49" s="82"/>
    </row>
    <row r="50">
      <c r="A50" s="4"/>
      <c r="C50" s="82"/>
    </row>
    <row r="51">
      <c r="A51" s="4"/>
      <c r="C51" s="82"/>
    </row>
    <row r="52">
      <c r="A52" s="4"/>
      <c r="C52" s="82"/>
    </row>
    <row r="53">
      <c r="A53" s="4"/>
      <c r="C53" s="82"/>
    </row>
    <row r="54">
      <c r="A54" s="4"/>
      <c r="C54" s="82"/>
    </row>
    <row r="55">
      <c r="A55" s="4"/>
      <c r="C55" s="82"/>
    </row>
    <row r="56">
      <c r="A56" s="4"/>
      <c r="C56" s="82"/>
    </row>
    <row r="57">
      <c r="A57" s="4"/>
      <c r="C57" s="82"/>
    </row>
    <row r="58">
      <c r="A58" s="4"/>
      <c r="C58" s="82"/>
    </row>
    <row r="59">
      <c r="A59" s="4"/>
      <c r="C59" s="82"/>
    </row>
    <row r="60">
      <c r="A60" s="4"/>
      <c r="C60" s="82"/>
    </row>
    <row r="61">
      <c r="A61" s="4"/>
      <c r="C61" s="82"/>
    </row>
    <row r="62">
      <c r="A62" s="4"/>
      <c r="C62" s="82"/>
    </row>
    <row r="63">
      <c r="A63" s="4"/>
      <c r="C63" s="82"/>
    </row>
    <row r="64">
      <c r="A64" s="4"/>
      <c r="C64" s="82"/>
    </row>
    <row r="65">
      <c r="A65" s="4"/>
      <c r="C65" s="82"/>
    </row>
    <row r="66">
      <c r="A66" s="4"/>
      <c r="C66" s="82"/>
    </row>
    <row r="67">
      <c r="A67" s="4"/>
      <c r="C67" s="82"/>
    </row>
    <row r="68">
      <c r="A68" s="4"/>
      <c r="C68" s="82"/>
    </row>
    <row r="69">
      <c r="A69" s="4"/>
      <c r="C69" s="82"/>
    </row>
    <row r="70">
      <c r="A70" s="4"/>
      <c r="C70" s="82"/>
    </row>
    <row r="71">
      <c r="A71" s="4"/>
      <c r="C71" s="82"/>
    </row>
    <row r="72">
      <c r="A72" s="4"/>
      <c r="C72" s="82"/>
    </row>
    <row r="73">
      <c r="A73" s="4"/>
      <c r="C73" s="82"/>
    </row>
    <row r="74">
      <c r="A74" s="4"/>
      <c r="C74" s="82"/>
    </row>
    <row r="75">
      <c r="A75" s="4"/>
      <c r="C75" s="82"/>
    </row>
    <row r="76">
      <c r="A76" s="4"/>
      <c r="C76" s="82"/>
    </row>
    <row r="77">
      <c r="A77" s="4"/>
      <c r="C77" s="82"/>
    </row>
    <row r="78">
      <c r="A78" s="4"/>
      <c r="C78" s="82"/>
    </row>
    <row r="79">
      <c r="A79" s="4"/>
      <c r="C79" s="82"/>
    </row>
    <row r="80">
      <c r="A80" s="4"/>
      <c r="C80" s="82"/>
    </row>
    <row r="81">
      <c r="A81" s="4"/>
      <c r="C81" s="82"/>
    </row>
    <row r="82">
      <c r="A82" s="4"/>
      <c r="C82" s="82"/>
    </row>
    <row r="83">
      <c r="A83" s="4"/>
      <c r="C83" s="82"/>
    </row>
    <row r="84">
      <c r="A84" s="4"/>
      <c r="C84" s="82"/>
    </row>
    <row r="85">
      <c r="A85" s="4"/>
      <c r="C85" s="82"/>
    </row>
    <row r="86">
      <c r="A86" s="4"/>
      <c r="C86" s="82"/>
    </row>
    <row r="87">
      <c r="A87" s="4"/>
      <c r="C87" s="82"/>
    </row>
    <row r="88">
      <c r="A88" s="4"/>
      <c r="C88" s="82"/>
    </row>
    <row r="89">
      <c r="A89" s="4"/>
      <c r="C89" s="82"/>
    </row>
    <row r="90">
      <c r="A90" s="4"/>
      <c r="C90" s="82"/>
    </row>
    <row r="91">
      <c r="A91" s="4"/>
      <c r="C91" s="82"/>
    </row>
    <row r="92">
      <c r="A92" s="4"/>
      <c r="C92" s="82"/>
    </row>
    <row r="93">
      <c r="A93" s="4"/>
      <c r="C93" s="82"/>
    </row>
    <row r="94">
      <c r="A94" s="4"/>
      <c r="C94" s="82"/>
    </row>
    <row r="95">
      <c r="A95" s="4"/>
      <c r="C95" s="82"/>
    </row>
    <row r="96">
      <c r="A96" s="4"/>
      <c r="C96" s="82"/>
    </row>
    <row r="97">
      <c r="A97" s="4"/>
      <c r="C97" s="82"/>
    </row>
    <row r="98">
      <c r="A98" s="4"/>
      <c r="C98" s="82"/>
    </row>
    <row r="99">
      <c r="A99" s="4"/>
      <c r="C99" s="82"/>
    </row>
    <row r="100">
      <c r="A100" s="4"/>
      <c r="C100" s="82"/>
    </row>
    <row r="101">
      <c r="C101" s="82"/>
    </row>
    <row r="102">
      <c r="C102" s="82"/>
    </row>
    <row r="103">
      <c r="C103" s="82"/>
    </row>
    <row r="104">
      <c r="C104" s="82"/>
    </row>
    <row r="105">
      <c r="C105" s="82"/>
    </row>
    <row r="106">
      <c r="C106" s="82"/>
    </row>
    <row r="107">
      <c r="C107" s="82"/>
    </row>
    <row r="108">
      <c r="C108" s="82"/>
    </row>
    <row r="109">
      <c r="C109" s="82"/>
    </row>
    <row r="110">
      <c r="C110" s="82"/>
    </row>
    <row r="111">
      <c r="C111" s="82"/>
    </row>
    <row r="112">
      <c r="C112" s="82"/>
    </row>
    <row r="113">
      <c r="C113" s="82"/>
    </row>
    <row r="114">
      <c r="C114" s="82"/>
    </row>
    <row r="115">
      <c r="C115" s="82"/>
    </row>
    <row r="116">
      <c r="C116" s="82"/>
    </row>
    <row r="117">
      <c r="C117" s="82"/>
    </row>
    <row r="118">
      <c r="C118" s="82"/>
    </row>
    <row r="119">
      <c r="C119" s="82"/>
    </row>
    <row r="120">
      <c r="C120" s="82"/>
    </row>
    <row r="121">
      <c r="C121" s="82"/>
    </row>
    <row r="122">
      <c r="C122" s="82"/>
    </row>
    <row r="123">
      <c r="C123" s="82"/>
    </row>
    <row r="124">
      <c r="C124" s="82"/>
    </row>
    <row r="125">
      <c r="C125" s="82"/>
    </row>
    <row r="126">
      <c r="C126" s="82"/>
    </row>
    <row r="127">
      <c r="C127" s="82"/>
    </row>
    <row r="128">
      <c r="C128" s="82"/>
    </row>
    <row r="129">
      <c r="C129" s="82"/>
    </row>
    <row r="130">
      <c r="C130" s="82"/>
    </row>
    <row r="131">
      <c r="C131" s="82"/>
    </row>
    <row r="132">
      <c r="C132" s="82"/>
    </row>
    <row r="133">
      <c r="C133" s="82"/>
    </row>
    <row r="134">
      <c r="C134" s="82"/>
    </row>
    <row r="135">
      <c r="C135" s="82"/>
    </row>
    <row r="136">
      <c r="C136" s="82"/>
    </row>
    <row r="137">
      <c r="C137" s="82"/>
    </row>
    <row r="138">
      <c r="C138" s="82"/>
    </row>
    <row r="139">
      <c r="C139" s="82"/>
    </row>
    <row r="140">
      <c r="C140" s="82"/>
    </row>
    <row r="141">
      <c r="C141" s="82"/>
    </row>
    <row r="142">
      <c r="C142" s="82"/>
    </row>
    <row r="143">
      <c r="C143" s="82"/>
    </row>
    <row r="144">
      <c r="C144" s="82"/>
    </row>
    <row r="145">
      <c r="C145" s="82"/>
    </row>
    <row r="146">
      <c r="C146" s="82"/>
    </row>
    <row r="147">
      <c r="C147" s="82"/>
    </row>
    <row r="148">
      <c r="C148" s="82"/>
    </row>
    <row r="149">
      <c r="C149" s="82"/>
    </row>
    <row r="150">
      <c r="C150" s="82"/>
    </row>
    <row r="151">
      <c r="C151" s="82"/>
    </row>
    <row r="152">
      <c r="C152" s="82"/>
    </row>
    <row r="153">
      <c r="C153" s="82"/>
    </row>
    <row r="154">
      <c r="C154" s="82"/>
    </row>
    <row r="155">
      <c r="C155" s="82"/>
    </row>
    <row r="156">
      <c r="C156" s="82"/>
    </row>
    <row r="157">
      <c r="C157" s="82"/>
    </row>
    <row r="158">
      <c r="C158" s="82"/>
    </row>
    <row r="159">
      <c r="C159" s="82"/>
    </row>
    <row r="160">
      <c r="C160" s="82"/>
    </row>
    <row r="161">
      <c r="C161" s="82"/>
    </row>
    <row r="162">
      <c r="C162" s="82"/>
    </row>
    <row r="163">
      <c r="C163" s="82"/>
    </row>
    <row r="164">
      <c r="C164" s="82"/>
    </row>
    <row r="165">
      <c r="C165" s="82"/>
    </row>
    <row r="166">
      <c r="C166" s="82"/>
    </row>
    <row r="167">
      <c r="C167" s="82"/>
    </row>
    <row r="168">
      <c r="C168" s="82"/>
    </row>
    <row r="169">
      <c r="C169" s="82"/>
    </row>
    <row r="170">
      <c r="C170" s="82"/>
    </row>
    <row r="171">
      <c r="C171" s="82"/>
    </row>
    <row r="172">
      <c r="C172" s="82"/>
    </row>
    <row r="173">
      <c r="C173" s="82"/>
    </row>
    <row r="174">
      <c r="C174" s="82"/>
    </row>
    <row r="175">
      <c r="C175" s="82"/>
    </row>
    <row r="176">
      <c r="C176" s="82"/>
    </row>
    <row r="177">
      <c r="C177" s="82"/>
    </row>
    <row r="178">
      <c r="C178" s="82"/>
    </row>
    <row r="179">
      <c r="C179" s="82"/>
    </row>
    <row r="180">
      <c r="C180" s="82"/>
    </row>
    <row r="181">
      <c r="C181" s="82"/>
    </row>
    <row r="182">
      <c r="C182" s="82"/>
    </row>
    <row r="183">
      <c r="C183" s="82"/>
    </row>
    <row r="184">
      <c r="C184" s="82"/>
    </row>
    <row r="185">
      <c r="C185" s="82"/>
    </row>
    <row r="186">
      <c r="C186" s="82"/>
    </row>
    <row r="187">
      <c r="C187" s="82"/>
    </row>
    <row r="188">
      <c r="C188" s="82"/>
    </row>
    <row r="189">
      <c r="C189" s="82"/>
    </row>
    <row r="190">
      <c r="C190" s="82"/>
    </row>
    <row r="191">
      <c r="C191" s="82"/>
    </row>
    <row r="192">
      <c r="C192" s="82"/>
    </row>
    <row r="193">
      <c r="C193" s="82"/>
    </row>
    <row r="194">
      <c r="C194" s="82"/>
    </row>
    <row r="195">
      <c r="C195" s="82"/>
    </row>
    <row r="196">
      <c r="C196" s="82"/>
    </row>
    <row r="197">
      <c r="C197" s="82"/>
    </row>
    <row r="198">
      <c r="C198" s="82"/>
    </row>
    <row r="199">
      <c r="C199" s="82"/>
    </row>
    <row r="200">
      <c r="C200" s="82"/>
    </row>
    <row r="201">
      <c r="C201" s="82"/>
    </row>
    <row r="202">
      <c r="C202" s="82"/>
    </row>
    <row r="203">
      <c r="C203" s="82"/>
    </row>
    <row r="204">
      <c r="C204" s="82"/>
    </row>
    <row r="205">
      <c r="C205" s="82"/>
    </row>
    <row r="206">
      <c r="C206" s="82"/>
    </row>
    <row r="207">
      <c r="C207" s="82"/>
    </row>
    <row r="208">
      <c r="C208" s="82"/>
    </row>
    <row r="209">
      <c r="C209" s="82"/>
    </row>
    <row r="210">
      <c r="C210" s="82"/>
    </row>
    <row r="211">
      <c r="C211" s="82"/>
    </row>
    <row r="212">
      <c r="C212" s="82"/>
    </row>
    <row r="213">
      <c r="C213" s="82"/>
    </row>
    <row r="214">
      <c r="C214" s="82"/>
    </row>
    <row r="215">
      <c r="C215" s="82"/>
    </row>
    <row r="216">
      <c r="C216" s="82"/>
    </row>
    <row r="217">
      <c r="C217" s="82"/>
    </row>
    <row r="218">
      <c r="C218" s="82"/>
    </row>
    <row r="219">
      <c r="C219" s="82"/>
    </row>
    <row r="220">
      <c r="C220" s="82"/>
    </row>
    <row r="221">
      <c r="C221" s="82"/>
    </row>
    <row r="222">
      <c r="C222" s="82"/>
    </row>
    <row r="223">
      <c r="C223" s="82"/>
    </row>
    <row r="224">
      <c r="C224" s="82"/>
    </row>
    <row r="225">
      <c r="C225" s="82"/>
    </row>
    <row r="226">
      <c r="C226" s="82"/>
    </row>
    <row r="227">
      <c r="C227" s="82"/>
    </row>
    <row r="228">
      <c r="C228" s="82"/>
    </row>
    <row r="229">
      <c r="C229" s="82"/>
    </row>
    <row r="230">
      <c r="C230" s="82"/>
    </row>
    <row r="231">
      <c r="C231" s="82"/>
    </row>
    <row r="232">
      <c r="C232" s="82"/>
    </row>
    <row r="233">
      <c r="C233" s="82"/>
    </row>
    <row r="234">
      <c r="C234" s="82"/>
    </row>
    <row r="235">
      <c r="C235" s="82"/>
    </row>
    <row r="236">
      <c r="C236" s="82"/>
    </row>
    <row r="237">
      <c r="C237" s="82"/>
    </row>
    <row r="238">
      <c r="C238" s="82"/>
    </row>
    <row r="239">
      <c r="C239" s="82"/>
    </row>
    <row r="240">
      <c r="C240" s="82"/>
    </row>
    <row r="241">
      <c r="C241" s="82"/>
    </row>
    <row r="242">
      <c r="C242" s="82"/>
    </row>
    <row r="243">
      <c r="C243" s="82"/>
    </row>
    <row r="244">
      <c r="C244" s="82"/>
    </row>
    <row r="245">
      <c r="C245" s="82"/>
    </row>
    <row r="246">
      <c r="C246" s="82"/>
    </row>
    <row r="247">
      <c r="C247" s="82"/>
    </row>
    <row r="248">
      <c r="C248" s="82"/>
    </row>
    <row r="249">
      <c r="C249" s="82"/>
    </row>
    <row r="250">
      <c r="C250" s="82"/>
    </row>
    <row r="251">
      <c r="C251" s="82"/>
    </row>
    <row r="252">
      <c r="C252" s="82"/>
    </row>
    <row r="253">
      <c r="C253" s="82"/>
    </row>
    <row r="254">
      <c r="C254" s="82"/>
    </row>
    <row r="255">
      <c r="C255" s="82"/>
    </row>
    <row r="256">
      <c r="C256" s="82"/>
    </row>
    <row r="257">
      <c r="C257" s="82"/>
    </row>
    <row r="258">
      <c r="C258" s="82"/>
    </row>
    <row r="259">
      <c r="C259" s="82"/>
    </row>
    <row r="260">
      <c r="C260" s="82"/>
    </row>
    <row r="261">
      <c r="C261" s="82"/>
    </row>
    <row r="262">
      <c r="C262" s="82"/>
    </row>
    <row r="263">
      <c r="C263" s="82"/>
    </row>
    <row r="264">
      <c r="C264" s="82"/>
    </row>
    <row r="265">
      <c r="C265" s="82"/>
    </row>
    <row r="266">
      <c r="C266" s="82"/>
    </row>
    <row r="267">
      <c r="C267" s="82"/>
    </row>
    <row r="268">
      <c r="C268" s="82"/>
    </row>
    <row r="269">
      <c r="C269" s="82"/>
    </row>
    <row r="270">
      <c r="C270" s="82"/>
    </row>
    <row r="271">
      <c r="C271" s="82"/>
    </row>
    <row r="272">
      <c r="C272" s="82"/>
    </row>
    <row r="273">
      <c r="C273" s="82"/>
    </row>
    <row r="274">
      <c r="C274" s="82"/>
    </row>
    <row r="275">
      <c r="C275" s="82"/>
    </row>
    <row r="276">
      <c r="C276" s="82"/>
    </row>
    <row r="277">
      <c r="C277" s="82"/>
    </row>
    <row r="278">
      <c r="C278" s="82"/>
    </row>
    <row r="279">
      <c r="C279" s="82"/>
    </row>
    <row r="280">
      <c r="C280" s="82"/>
    </row>
    <row r="281">
      <c r="C281" s="82"/>
    </row>
    <row r="282">
      <c r="C282" s="82"/>
    </row>
    <row r="283">
      <c r="C283" s="82"/>
    </row>
    <row r="284">
      <c r="C284" s="82"/>
    </row>
    <row r="285">
      <c r="C285" s="82"/>
    </row>
    <row r="286">
      <c r="C286" s="82"/>
    </row>
    <row r="287">
      <c r="C287" s="82"/>
    </row>
    <row r="288">
      <c r="C288" s="82"/>
    </row>
    <row r="289">
      <c r="C289" s="82"/>
    </row>
    <row r="290">
      <c r="C290" s="82"/>
    </row>
    <row r="291">
      <c r="C291" s="82"/>
    </row>
    <row r="292">
      <c r="C292" s="82"/>
    </row>
    <row r="293">
      <c r="C293" s="82"/>
    </row>
    <row r="294">
      <c r="C294" s="82"/>
    </row>
    <row r="295">
      <c r="C295" s="82"/>
    </row>
    <row r="296">
      <c r="C296" s="82"/>
    </row>
    <row r="297">
      <c r="C297" s="82"/>
    </row>
    <row r="298">
      <c r="C298" s="82"/>
    </row>
    <row r="299">
      <c r="C299" s="82"/>
    </row>
    <row r="300">
      <c r="C300" s="82"/>
    </row>
    <row r="301">
      <c r="C301" s="82"/>
    </row>
    <row r="302">
      <c r="C302" s="82"/>
    </row>
    <row r="303">
      <c r="C303" s="82"/>
    </row>
    <row r="304">
      <c r="C304" s="82"/>
    </row>
    <row r="305">
      <c r="C305" s="82"/>
    </row>
    <row r="306">
      <c r="C306" s="82"/>
    </row>
    <row r="307">
      <c r="C307" s="82"/>
    </row>
    <row r="308">
      <c r="C308" s="82"/>
    </row>
    <row r="309">
      <c r="C309" s="82"/>
    </row>
    <row r="310">
      <c r="C310" s="82"/>
    </row>
    <row r="311">
      <c r="C311" s="82"/>
    </row>
    <row r="312">
      <c r="C312" s="82"/>
    </row>
    <row r="313">
      <c r="C313" s="82"/>
    </row>
    <row r="314">
      <c r="C314" s="82"/>
    </row>
    <row r="315">
      <c r="C315" s="82"/>
    </row>
    <row r="316">
      <c r="C316" s="82"/>
    </row>
    <row r="317">
      <c r="C317" s="82"/>
    </row>
    <row r="318">
      <c r="C318" s="82"/>
    </row>
    <row r="319">
      <c r="C319" s="82"/>
    </row>
    <row r="320">
      <c r="C320" s="82"/>
    </row>
    <row r="321">
      <c r="C321" s="82"/>
    </row>
    <row r="322">
      <c r="C322" s="82"/>
    </row>
    <row r="323">
      <c r="C323" s="82"/>
    </row>
    <row r="324">
      <c r="C324" s="82"/>
    </row>
    <row r="325">
      <c r="C325" s="82"/>
    </row>
    <row r="326">
      <c r="C326" s="82"/>
    </row>
    <row r="327">
      <c r="C327" s="82"/>
    </row>
    <row r="328">
      <c r="C328" s="82"/>
    </row>
    <row r="329">
      <c r="C329" s="82"/>
    </row>
    <row r="330">
      <c r="C330" s="82"/>
    </row>
    <row r="331">
      <c r="C331" s="82"/>
    </row>
    <row r="332">
      <c r="C332" s="82"/>
    </row>
    <row r="333">
      <c r="C333" s="82"/>
    </row>
    <row r="334">
      <c r="C334" s="82"/>
    </row>
    <row r="335">
      <c r="C335" s="82"/>
    </row>
    <row r="336">
      <c r="C336" s="82"/>
    </row>
    <row r="337">
      <c r="C337" s="82"/>
    </row>
    <row r="338">
      <c r="C338" s="82"/>
    </row>
    <row r="339">
      <c r="C339" s="82"/>
    </row>
    <row r="340">
      <c r="C340" s="82"/>
    </row>
    <row r="341">
      <c r="C341" s="82"/>
    </row>
    <row r="342">
      <c r="C342" s="82"/>
    </row>
    <row r="343">
      <c r="C343" s="82"/>
    </row>
    <row r="344">
      <c r="C344" s="82"/>
    </row>
    <row r="345">
      <c r="C345" s="82"/>
    </row>
    <row r="346">
      <c r="C346" s="82"/>
    </row>
    <row r="347">
      <c r="C347" s="82"/>
    </row>
    <row r="348">
      <c r="C348" s="82"/>
    </row>
    <row r="349">
      <c r="C349" s="82"/>
    </row>
    <row r="350">
      <c r="C350" s="82"/>
    </row>
    <row r="351">
      <c r="C351" s="82"/>
    </row>
    <row r="352">
      <c r="C352" s="82"/>
    </row>
    <row r="353">
      <c r="C353" s="82"/>
    </row>
    <row r="354">
      <c r="C354" s="82"/>
    </row>
    <row r="355">
      <c r="C355" s="82"/>
    </row>
    <row r="356">
      <c r="C356" s="82"/>
    </row>
    <row r="357">
      <c r="C357" s="82"/>
    </row>
    <row r="358">
      <c r="C358" s="82"/>
    </row>
    <row r="359">
      <c r="C359" s="82"/>
    </row>
    <row r="360">
      <c r="C360" s="82"/>
    </row>
    <row r="361">
      <c r="C361" s="82"/>
    </row>
    <row r="362">
      <c r="C362" s="82"/>
    </row>
    <row r="363">
      <c r="C363" s="82"/>
    </row>
    <row r="364">
      <c r="C364" s="82"/>
    </row>
    <row r="365">
      <c r="C365" s="82"/>
    </row>
    <row r="366">
      <c r="C366" s="82"/>
    </row>
    <row r="367">
      <c r="C367" s="82"/>
    </row>
    <row r="368">
      <c r="C368" s="82"/>
    </row>
    <row r="369">
      <c r="C369" s="82"/>
    </row>
    <row r="370">
      <c r="C370" s="82"/>
    </row>
    <row r="371">
      <c r="C371" s="82"/>
    </row>
    <row r="372">
      <c r="C372" s="82"/>
    </row>
    <row r="373">
      <c r="C373" s="82"/>
    </row>
    <row r="374">
      <c r="C374" s="82"/>
    </row>
    <row r="375">
      <c r="C375" s="82"/>
    </row>
    <row r="376">
      <c r="C376" s="82"/>
    </row>
    <row r="377">
      <c r="C377" s="82"/>
    </row>
    <row r="378">
      <c r="C378" s="82"/>
    </row>
    <row r="379">
      <c r="C379" s="82"/>
    </row>
    <row r="380">
      <c r="C380" s="82"/>
    </row>
    <row r="381">
      <c r="C381" s="82"/>
    </row>
    <row r="382">
      <c r="C382" s="82"/>
    </row>
    <row r="383">
      <c r="C383" s="82"/>
    </row>
    <row r="384">
      <c r="C384" s="82"/>
    </row>
    <row r="385">
      <c r="C385" s="82"/>
    </row>
    <row r="386">
      <c r="C386" s="82"/>
    </row>
    <row r="387">
      <c r="C387" s="82"/>
    </row>
    <row r="388">
      <c r="C388" s="82"/>
    </row>
    <row r="389">
      <c r="C389" s="82"/>
    </row>
    <row r="390">
      <c r="C390" s="82"/>
    </row>
    <row r="391">
      <c r="C391" s="82"/>
    </row>
    <row r="392">
      <c r="C392" s="82"/>
    </row>
    <row r="393">
      <c r="C393" s="82"/>
    </row>
    <row r="394">
      <c r="C394" s="82"/>
    </row>
    <row r="395">
      <c r="C395" s="82"/>
    </row>
    <row r="396">
      <c r="C396" s="82"/>
    </row>
    <row r="397">
      <c r="C397" s="82"/>
    </row>
    <row r="398">
      <c r="C398" s="82"/>
    </row>
    <row r="399">
      <c r="C399" s="82"/>
    </row>
    <row r="400">
      <c r="C400" s="82"/>
    </row>
    <row r="401">
      <c r="C401" s="82"/>
    </row>
    <row r="402">
      <c r="C402" s="82"/>
    </row>
    <row r="403">
      <c r="C403" s="82"/>
    </row>
    <row r="404">
      <c r="C404" s="82"/>
    </row>
    <row r="405">
      <c r="C405" s="82"/>
    </row>
    <row r="406">
      <c r="C406" s="82"/>
    </row>
    <row r="407">
      <c r="C407" s="82"/>
    </row>
    <row r="408">
      <c r="C408" s="82"/>
    </row>
    <row r="409">
      <c r="C409" s="82"/>
    </row>
    <row r="410">
      <c r="C410" s="82"/>
    </row>
    <row r="411">
      <c r="C411" s="82"/>
    </row>
    <row r="412">
      <c r="C412" s="82"/>
    </row>
    <row r="413">
      <c r="C413" s="82"/>
    </row>
    <row r="414">
      <c r="C414" s="82"/>
    </row>
    <row r="415">
      <c r="C415" s="82"/>
    </row>
    <row r="416">
      <c r="C416" s="82"/>
    </row>
    <row r="417">
      <c r="C417" s="82"/>
    </row>
    <row r="418">
      <c r="C418" s="82"/>
    </row>
    <row r="419">
      <c r="C419" s="82"/>
    </row>
    <row r="420">
      <c r="C420" s="82"/>
    </row>
    <row r="421">
      <c r="C421" s="82"/>
    </row>
    <row r="422">
      <c r="C422" s="82"/>
    </row>
    <row r="423">
      <c r="C423" s="82"/>
    </row>
    <row r="424">
      <c r="C424" s="82"/>
    </row>
    <row r="425">
      <c r="C425" s="82"/>
    </row>
    <row r="426">
      <c r="C426" s="82"/>
    </row>
    <row r="427">
      <c r="C427" s="82"/>
    </row>
    <row r="428">
      <c r="C428" s="82"/>
    </row>
    <row r="429">
      <c r="C429" s="82"/>
    </row>
    <row r="430">
      <c r="C430" s="82"/>
    </row>
    <row r="431">
      <c r="C431" s="82"/>
    </row>
    <row r="432">
      <c r="C432" s="82"/>
    </row>
    <row r="433">
      <c r="C433" s="82"/>
    </row>
    <row r="434">
      <c r="C434" s="82"/>
    </row>
    <row r="435">
      <c r="C435" s="82"/>
    </row>
    <row r="436">
      <c r="C436" s="82"/>
    </row>
    <row r="437">
      <c r="C437" s="82"/>
    </row>
    <row r="438">
      <c r="C438" s="82"/>
    </row>
    <row r="439">
      <c r="C439" s="82"/>
    </row>
    <row r="440">
      <c r="C440" s="82"/>
    </row>
    <row r="441">
      <c r="C441" s="82"/>
    </row>
    <row r="442">
      <c r="C442" s="82"/>
    </row>
    <row r="443">
      <c r="C443" s="82"/>
    </row>
    <row r="444">
      <c r="C444" s="82"/>
    </row>
    <row r="445">
      <c r="C445" s="82"/>
    </row>
    <row r="446">
      <c r="C446" s="82"/>
    </row>
    <row r="447">
      <c r="C447" s="82"/>
    </row>
    <row r="448">
      <c r="C448" s="82"/>
    </row>
    <row r="449">
      <c r="C449" s="82"/>
    </row>
    <row r="450">
      <c r="C450" s="82"/>
    </row>
    <row r="451">
      <c r="C451" s="82"/>
    </row>
    <row r="452">
      <c r="C452" s="82"/>
    </row>
    <row r="453">
      <c r="C453" s="82"/>
    </row>
    <row r="454">
      <c r="C454" s="82"/>
    </row>
    <row r="455">
      <c r="C455" s="82"/>
    </row>
    <row r="456">
      <c r="C456" s="82"/>
    </row>
    <row r="457">
      <c r="C457" s="82"/>
    </row>
    <row r="458">
      <c r="C458" s="82"/>
    </row>
    <row r="459">
      <c r="C459" s="82"/>
    </row>
    <row r="460">
      <c r="C460" s="82"/>
    </row>
    <row r="461">
      <c r="C461" s="82"/>
    </row>
    <row r="462">
      <c r="C462" s="82"/>
    </row>
    <row r="463">
      <c r="C463" s="82"/>
    </row>
    <row r="464">
      <c r="C464" s="82"/>
    </row>
    <row r="465">
      <c r="C465" s="82"/>
    </row>
    <row r="466">
      <c r="C466" s="82"/>
    </row>
    <row r="467">
      <c r="C467" s="82"/>
    </row>
    <row r="468">
      <c r="C468" s="82"/>
    </row>
    <row r="469">
      <c r="C469" s="82"/>
    </row>
    <row r="470">
      <c r="C470" s="82"/>
    </row>
    <row r="471">
      <c r="C471" s="82"/>
    </row>
    <row r="472">
      <c r="C472" s="82"/>
    </row>
    <row r="473">
      <c r="C473" s="82"/>
    </row>
    <row r="474">
      <c r="C474" s="82"/>
    </row>
    <row r="475">
      <c r="C475" s="82"/>
    </row>
    <row r="476">
      <c r="C476" s="82"/>
    </row>
    <row r="477">
      <c r="C477" s="82"/>
    </row>
    <row r="478">
      <c r="C478" s="82"/>
    </row>
    <row r="479">
      <c r="C479" s="82"/>
    </row>
    <row r="480">
      <c r="C480" s="82"/>
    </row>
    <row r="481">
      <c r="C481" s="82"/>
    </row>
    <row r="482">
      <c r="C482" s="82"/>
    </row>
    <row r="483">
      <c r="C483" s="82"/>
    </row>
    <row r="484">
      <c r="C484" s="82"/>
    </row>
    <row r="485">
      <c r="C485" s="82"/>
    </row>
    <row r="486">
      <c r="C486" s="82"/>
    </row>
    <row r="487">
      <c r="C487" s="82"/>
    </row>
    <row r="488">
      <c r="C488" s="82"/>
    </row>
    <row r="489">
      <c r="C489" s="82"/>
    </row>
    <row r="490">
      <c r="C490" s="82"/>
    </row>
    <row r="491">
      <c r="C491" s="82"/>
    </row>
    <row r="492">
      <c r="C492" s="82"/>
    </row>
    <row r="493">
      <c r="C493" s="82"/>
    </row>
    <row r="494">
      <c r="C494" s="82"/>
    </row>
    <row r="495">
      <c r="C495" s="82"/>
    </row>
    <row r="496">
      <c r="C496" s="82"/>
    </row>
    <row r="497">
      <c r="C497" s="82"/>
    </row>
    <row r="498">
      <c r="C498" s="82"/>
    </row>
    <row r="499">
      <c r="C499" s="82"/>
    </row>
    <row r="500">
      <c r="C500" s="82"/>
    </row>
    <row r="501">
      <c r="C501" s="82"/>
    </row>
    <row r="502">
      <c r="C502" s="82"/>
    </row>
    <row r="503">
      <c r="C503" s="82"/>
    </row>
    <row r="504">
      <c r="C504" s="82"/>
    </row>
    <row r="505">
      <c r="C505" s="82"/>
    </row>
    <row r="506">
      <c r="C506" s="82"/>
    </row>
    <row r="507">
      <c r="C507" s="82"/>
    </row>
    <row r="508">
      <c r="C508" s="82"/>
    </row>
    <row r="509">
      <c r="C509" s="82"/>
    </row>
    <row r="510">
      <c r="C510" s="82"/>
    </row>
    <row r="511">
      <c r="C511" s="82"/>
    </row>
    <row r="512">
      <c r="C512" s="82"/>
    </row>
    <row r="513">
      <c r="C513" s="82"/>
    </row>
    <row r="514">
      <c r="C514" s="82"/>
    </row>
    <row r="515">
      <c r="C515" s="82"/>
    </row>
    <row r="516">
      <c r="C516" s="82"/>
    </row>
    <row r="517">
      <c r="C517" s="82"/>
    </row>
    <row r="518">
      <c r="C518" s="82"/>
    </row>
    <row r="519">
      <c r="C519" s="82"/>
    </row>
    <row r="520">
      <c r="C520" s="82"/>
    </row>
    <row r="521">
      <c r="C521" s="82"/>
    </row>
    <row r="522">
      <c r="C522" s="82"/>
    </row>
    <row r="523">
      <c r="C523" s="82"/>
    </row>
    <row r="524">
      <c r="C524" s="82"/>
    </row>
    <row r="525">
      <c r="C525" s="82"/>
    </row>
    <row r="526">
      <c r="C526" s="82"/>
    </row>
    <row r="527">
      <c r="C527" s="82"/>
    </row>
    <row r="528">
      <c r="C528" s="82"/>
    </row>
    <row r="529">
      <c r="C529" s="82"/>
    </row>
    <row r="530">
      <c r="C530" s="82"/>
    </row>
    <row r="531">
      <c r="C531" s="82"/>
    </row>
    <row r="532">
      <c r="C532" s="82"/>
    </row>
    <row r="533">
      <c r="C533" s="82"/>
    </row>
    <row r="534">
      <c r="C534" s="82"/>
    </row>
    <row r="535">
      <c r="C535" s="82"/>
    </row>
    <row r="536">
      <c r="C536" s="82"/>
    </row>
    <row r="537">
      <c r="C537" s="82"/>
    </row>
    <row r="538">
      <c r="C538" s="82"/>
    </row>
    <row r="539">
      <c r="C539" s="82"/>
    </row>
    <row r="540">
      <c r="C540" s="82"/>
    </row>
    <row r="541">
      <c r="C541" s="82"/>
    </row>
    <row r="542">
      <c r="C542" s="82"/>
    </row>
    <row r="543">
      <c r="C543" s="82"/>
    </row>
    <row r="544">
      <c r="C544" s="82"/>
    </row>
    <row r="545">
      <c r="C545" s="82"/>
    </row>
    <row r="546">
      <c r="C546" s="82"/>
    </row>
    <row r="547">
      <c r="C547" s="82"/>
    </row>
    <row r="548">
      <c r="C548" s="82"/>
    </row>
    <row r="549">
      <c r="C549" s="82"/>
    </row>
    <row r="550">
      <c r="C550" s="82"/>
    </row>
    <row r="551">
      <c r="C551" s="82"/>
    </row>
    <row r="552">
      <c r="C552" s="82"/>
    </row>
    <row r="553">
      <c r="C553" s="82"/>
    </row>
    <row r="554">
      <c r="C554" s="82"/>
    </row>
    <row r="555">
      <c r="C555" s="82"/>
    </row>
    <row r="556">
      <c r="C556" s="82"/>
    </row>
    <row r="557">
      <c r="C557" s="82"/>
    </row>
    <row r="558">
      <c r="C558" s="82"/>
    </row>
    <row r="559">
      <c r="C559" s="82"/>
    </row>
    <row r="560">
      <c r="C560" s="82"/>
    </row>
    <row r="561">
      <c r="C561" s="82"/>
    </row>
    <row r="562">
      <c r="C562" s="82"/>
    </row>
    <row r="563">
      <c r="C563" s="82"/>
    </row>
    <row r="564">
      <c r="C564" s="82"/>
    </row>
    <row r="565">
      <c r="C565" s="82"/>
    </row>
    <row r="566">
      <c r="C566" s="82"/>
    </row>
    <row r="567">
      <c r="C567" s="82"/>
    </row>
    <row r="568">
      <c r="C568" s="82"/>
    </row>
    <row r="569">
      <c r="C569" s="82"/>
    </row>
    <row r="570">
      <c r="C570" s="82"/>
    </row>
    <row r="571">
      <c r="C571" s="82"/>
    </row>
    <row r="572">
      <c r="C572" s="82"/>
    </row>
    <row r="573">
      <c r="C573" s="82"/>
    </row>
    <row r="574">
      <c r="C574" s="82"/>
    </row>
    <row r="575">
      <c r="C575" s="82"/>
    </row>
    <row r="576">
      <c r="C576" s="82"/>
    </row>
    <row r="577">
      <c r="C577" s="82"/>
    </row>
    <row r="578">
      <c r="C578" s="82"/>
    </row>
    <row r="579">
      <c r="C579" s="82"/>
    </row>
    <row r="580">
      <c r="C580" s="82"/>
    </row>
    <row r="581">
      <c r="C581" s="82"/>
    </row>
    <row r="582">
      <c r="C582" s="82"/>
    </row>
    <row r="583">
      <c r="C583" s="82"/>
    </row>
    <row r="584">
      <c r="C584" s="82"/>
    </row>
    <row r="585">
      <c r="C585" s="82"/>
    </row>
    <row r="586">
      <c r="C586" s="82"/>
    </row>
    <row r="587">
      <c r="C587" s="82"/>
    </row>
    <row r="588">
      <c r="C588" s="82"/>
    </row>
    <row r="589">
      <c r="C589" s="82"/>
    </row>
    <row r="590">
      <c r="C590" s="82"/>
    </row>
    <row r="591">
      <c r="C591" s="82"/>
    </row>
    <row r="592">
      <c r="C592" s="82"/>
    </row>
    <row r="593">
      <c r="C593" s="82"/>
    </row>
    <row r="594">
      <c r="C594" s="82"/>
    </row>
    <row r="595">
      <c r="C595" s="82"/>
    </row>
    <row r="596">
      <c r="C596" s="82"/>
    </row>
    <row r="597">
      <c r="C597" s="82"/>
    </row>
    <row r="598">
      <c r="C598" s="82"/>
    </row>
    <row r="599">
      <c r="C599" s="82"/>
    </row>
    <row r="600">
      <c r="C600" s="82"/>
    </row>
    <row r="601">
      <c r="C601" s="82"/>
    </row>
    <row r="602">
      <c r="C602" s="82"/>
    </row>
    <row r="603">
      <c r="C603" s="82"/>
    </row>
    <row r="604">
      <c r="C604" s="82"/>
    </row>
    <row r="605">
      <c r="C605" s="82"/>
    </row>
    <row r="606">
      <c r="C606" s="82"/>
    </row>
    <row r="607">
      <c r="C607" s="82"/>
    </row>
    <row r="608">
      <c r="C608" s="82"/>
    </row>
    <row r="609">
      <c r="C609" s="82"/>
    </row>
    <row r="610">
      <c r="C610" s="82"/>
    </row>
    <row r="611">
      <c r="C611" s="82"/>
    </row>
    <row r="612">
      <c r="C612" s="82"/>
    </row>
    <row r="613">
      <c r="C613" s="82"/>
    </row>
    <row r="614">
      <c r="C614" s="82"/>
    </row>
    <row r="615">
      <c r="C615" s="82"/>
    </row>
    <row r="616">
      <c r="C616" s="82"/>
    </row>
    <row r="617">
      <c r="C617" s="82"/>
    </row>
    <row r="618">
      <c r="C618" s="82"/>
    </row>
    <row r="619">
      <c r="C619" s="82"/>
    </row>
    <row r="620">
      <c r="C620" s="82"/>
    </row>
    <row r="621">
      <c r="C621" s="82"/>
    </row>
    <row r="622">
      <c r="C622" s="82"/>
    </row>
    <row r="623">
      <c r="C623" s="82"/>
    </row>
    <row r="624">
      <c r="C624" s="82"/>
    </row>
    <row r="625">
      <c r="C625" s="82"/>
    </row>
    <row r="626">
      <c r="C626" s="82"/>
    </row>
    <row r="627">
      <c r="C627" s="82"/>
    </row>
    <row r="628">
      <c r="C628" s="82"/>
    </row>
    <row r="629">
      <c r="C629" s="82"/>
    </row>
    <row r="630">
      <c r="C630" s="82"/>
    </row>
    <row r="631">
      <c r="C631" s="82"/>
    </row>
    <row r="632">
      <c r="C632" s="82"/>
    </row>
    <row r="633">
      <c r="C633" s="82"/>
    </row>
    <row r="634">
      <c r="C634" s="82"/>
    </row>
    <row r="635">
      <c r="C635" s="82"/>
    </row>
    <row r="636">
      <c r="C636" s="82"/>
    </row>
    <row r="637">
      <c r="C637" s="82"/>
    </row>
    <row r="638">
      <c r="C638" s="82"/>
    </row>
    <row r="639">
      <c r="C639" s="82"/>
    </row>
    <row r="640">
      <c r="C640" s="82"/>
    </row>
    <row r="641">
      <c r="C641" s="82"/>
    </row>
    <row r="642">
      <c r="C642" s="82"/>
    </row>
    <row r="643">
      <c r="C643" s="82"/>
    </row>
    <row r="644">
      <c r="C644" s="82"/>
    </row>
    <row r="645">
      <c r="C645" s="82"/>
    </row>
    <row r="646">
      <c r="C646" s="82"/>
    </row>
    <row r="647">
      <c r="C647" s="82"/>
    </row>
    <row r="648">
      <c r="C648" s="82"/>
    </row>
    <row r="649">
      <c r="C649" s="82"/>
    </row>
    <row r="650">
      <c r="C650" s="82"/>
    </row>
    <row r="651">
      <c r="C651" s="82"/>
    </row>
    <row r="652">
      <c r="C652" s="82"/>
    </row>
    <row r="653">
      <c r="C653" s="82"/>
    </row>
    <row r="654">
      <c r="C654" s="82"/>
    </row>
    <row r="655">
      <c r="C655" s="82"/>
    </row>
    <row r="656">
      <c r="C656" s="82"/>
    </row>
    <row r="657">
      <c r="C657" s="82"/>
    </row>
    <row r="658">
      <c r="C658" s="82"/>
    </row>
    <row r="659">
      <c r="C659" s="82"/>
    </row>
    <row r="660">
      <c r="C660" s="82"/>
    </row>
    <row r="661">
      <c r="C661" s="82"/>
    </row>
    <row r="662">
      <c r="C662" s="82"/>
    </row>
    <row r="663">
      <c r="C663" s="82"/>
    </row>
    <row r="664">
      <c r="C664" s="82"/>
    </row>
    <row r="665">
      <c r="C665" s="82"/>
    </row>
    <row r="666">
      <c r="C666" s="82"/>
    </row>
    <row r="667">
      <c r="C667" s="82"/>
    </row>
    <row r="668">
      <c r="C668" s="82"/>
    </row>
    <row r="669">
      <c r="C669" s="82"/>
    </row>
    <row r="670">
      <c r="C670" s="82"/>
    </row>
    <row r="671">
      <c r="C671" s="82"/>
    </row>
    <row r="672">
      <c r="C672" s="82"/>
    </row>
    <row r="673">
      <c r="C673" s="82"/>
    </row>
    <row r="674">
      <c r="C674" s="82"/>
    </row>
    <row r="675">
      <c r="C675" s="82"/>
    </row>
    <row r="676">
      <c r="C676" s="82"/>
    </row>
    <row r="677">
      <c r="C677" s="82"/>
    </row>
    <row r="678">
      <c r="C678" s="82"/>
    </row>
    <row r="679">
      <c r="C679" s="82"/>
    </row>
    <row r="680">
      <c r="C680" s="82"/>
    </row>
    <row r="681">
      <c r="C681" s="82"/>
    </row>
    <row r="682">
      <c r="C682" s="82"/>
    </row>
    <row r="683">
      <c r="C683" s="82"/>
    </row>
    <row r="684">
      <c r="C684" s="82"/>
    </row>
    <row r="685">
      <c r="C685" s="82"/>
    </row>
    <row r="686">
      <c r="C686" s="82"/>
    </row>
    <row r="687">
      <c r="C687" s="82"/>
    </row>
    <row r="688">
      <c r="C688" s="82"/>
    </row>
    <row r="689">
      <c r="C689" s="82"/>
    </row>
    <row r="690">
      <c r="C690" s="82"/>
    </row>
    <row r="691">
      <c r="C691" s="82"/>
    </row>
    <row r="692">
      <c r="C692" s="82"/>
    </row>
    <row r="693">
      <c r="C693" s="82"/>
    </row>
    <row r="694">
      <c r="C694" s="82"/>
    </row>
    <row r="695">
      <c r="C695" s="82"/>
    </row>
    <row r="696">
      <c r="C696" s="82"/>
    </row>
    <row r="697">
      <c r="C697" s="82"/>
    </row>
    <row r="698">
      <c r="C698" s="82"/>
    </row>
    <row r="699">
      <c r="C699" s="82"/>
    </row>
    <row r="700">
      <c r="C700" s="82"/>
    </row>
    <row r="701">
      <c r="C701" s="82"/>
    </row>
    <row r="702">
      <c r="C702" s="82"/>
    </row>
    <row r="703">
      <c r="C703" s="82"/>
    </row>
    <row r="704">
      <c r="C704" s="82"/>
    </row>
    <row r="705">
      <c r="C705" s="82"/>
    </row>
    <row r="706">
      <c r="C706" s="82"/>
    </row>
    <row r="707">
      <c r="C707" s="82"/>
    </row>
    <row r="708">
      <c r="C708" s="82"/>
    </row>
    <row r="709">
      <c r="C709" s="82"/>
    </row>
    <row r="710">
      <c r="C710" s="82"/>
    </row>
    <row r="711">
      <c r="C711" s="82"/>
    </row>
    <row r="712">
      <c r="C712" s="82"/>
    </row>
    <row r="713">
      <c r="C713" s="82"/>
    </row>
    <row r="714">
      <c r="C714" s="82"/>
    </row>
    <row r="715">
      <c r="C715" s="82"/>
    </row>
    <row r="716">
      <c r="C716" s="82"/>
    </row>
    <row r="717">
      <c r="C717" s="82"/>
    </row>
    <row r="718">
      <c r="C718" s="82"/>
    </row>
    <row r="719">
      <c r="C719" s="82"/>
    </row>
    <row r="720">
      <c r="C720" s="82"/>
    </row>
    <row r="721">
      <c r="C721" s="82"/>
    </row>
    <row r="722">
      <c r="C722" s="82"/>
    </row>
    <row r="723">
      <c r="C723" s="82"/>
    </row>
    <row r="724">
      <c r="C724" s="82"/>
    </row>
    <row r="725">
      <c r="C725" s="82"/>
    </row>
    <row r="726">
      <c r="C726" s="82"/>
    </row>
    <row r="727">
      <c r="C727" s="82"/>
    </row>
    <row r="728">
      <c r="C728" s="82"/>
    </row>
    <row r="729">
      <c r="C729" s="82"/>
    </row>
    <row r="730">
      <c r="C730" s="82"/>
    </row>
    <row r="731">
      <c r="C731" s="82"/>
    </row>
    <row r="732">
      <c r="C732" s="82"/>
    </row>
    <row r="733">
      <c r="C733" s="82"/>
    </row>
    <row r="734">
      <c r="C734" s="82"/>
    </row>
    <row r="735">
      <c r="C735" s="82"/>
    </row>
    <row r="736">
      <c r="C736" s="82"/>
    </row>
    <row r="737">
      <c r="C737" s="82"/>
    </row>
    <row r="738">
      <c r="C738" s="82"/>
    </row>
    <row r="739">
      <c r="C739" s="82"/>
    </row>
    <row r="740">
      <c r="C740" s="82"/>
    </row>
    <row r="741">
      <c r="C741" s="82"/>
    </row>
    <row r="742">
      <c r="C742" s="82"/>
    </row>
    <row r="743">
      <c r="C743" s="82"/>
    </row>
    <row r="744">
      <c r="C744" s="82"/>
    </row>
    <row r="745">
      <c r="C745" s="82"/>
    </row>
    <row r="746">
      <c r="C746" s="82"/>
    </row>
    <row r="747">
      <c r="C747" s="82"/>
    </row>
    <row r="748">
      <c r="C748" s="82"/>
    </row>
    <row r="749">
      <c r="C749" s="82"/>
    </row>
    <row r="750">
      <c r="C750" s="82"/>
    </row>
    <row r="751">
      <c r="C751" s="82"/>
    </row>
    <row r="752">
      <c r="C752" s="82"/>
    </row>
    <row r="753">
      <c r="C753" s="82"/>
    </row>
    <row r="754">
      <c r="C754" s="82"/>
    </row>
    <row r="755">
      <c r="C755" s="82"/>
    </row>
    <row r="756">
      <c r="C756" s="82"/>
    </row>
    <row r="757">
      <c r="C757" s="82"/>
    </row>
    <row r="758">
      <c r="C758" s="82"/>
    </row>
    <row r="759">
      <c r="C759" s="82"/>
    </row>
    <row r="760">
      <c r="C760" s="82"/>
    </row>
    <row r="761">
      <c r="C761" s="82"/>
    </row>
    <row r="762">
      <c r="C762" s="82"/>
    </row>
    <row r="763">
      <c r="C763" s="82"/>
    </row>
    <row r="764">
      <c r="C764" s="82"/>
    </row>
    <row r="765">
      <c r="C765" s="82"/>
    </row>
    <row r="766">
      <c r="C766" s="82"/>
    </row>
    <row r="767">
      <c r="C767" s="82"/>
    </row>
    <row r="768">
      <c r="C768" s="82"/>
    </row>
    <row r="769">
      <c r="C769" s="82"/>
    </row>
    <row r="770">
      <c r="C770" s="82"/>
    </row>
    <row r="771">
      <c r="C771" s="82"/>
    </row>
    <row r="772">
      <c r="C772" s="82"/>
    </row>
    <row r="773">
      <c r="C773" s="82"/>
    </row>
    <row r="774">
      <c r="C774" s="82"/>
    </row>
    <row r="775">
      <c r="C775" s="82"/>
    </row>
    <row r="776">
      <c r="C776" s="82"/>
    </row>
    <row r="777">
      <c r="C777" s="82"/>
    </row>
    <row r="778">
      <c r="C778" s="82"/>
    </row>
    <row r="779">
      <c r="C779" s="82"/>
    </row>
    <row r="780">
      <c r="C780" s="82"/>
    </row>
    <row r="781">
      <c r="C781" s="82"/>
    </row>
    <row r="782">
      <c r="C782" s="82"/>
    </row>
    <row r="783">
      <c r="C783" s="82"/>
    </row>
    <row r="784">
      <c r="C784" s="82"/>
    </row>
    <row r="785">
      <c r="C785" s="82"/>
    </row>
    <row r="786">
      <c r="C786" s="82"/>
    </row>
    <row r="787">
      <c r="C787" s="82"/>
    </row>
    <row r="788">
      <c r="C788" s="82"/>
    </row>
    <row r="789">
      <c r="C789" s="82"/>
    </row>
    <row r="790">
      <c r="C790" s="82"/>
    </row>
    <row r="791">
      <c r="C791" s="82"/>
    </row>
    <row r="792">
      <c r="C792" s="82"/>
    </row>
    <row r="793">
      <c r="C793" s="82"/>
    </row>
    <row r="794">
      <c r="C794" s="82"/>
    </row>
    <row r="795">
      <c r="C795" s="82"/>
    </row>
    <row r="796">
      <c r="C796" s="82"/>
    </row>
    <row r="797">
      <c r="C797" s="82"/>
    </row>
    <row r="798">
      <c r="C798" s="82"/>
    </row>
    <row r="799">
      <c r="C799" s="82"/>
    </row>
    <row r="800">
      <c r="C800" s="82"/>
    </row>
    <row r="801">
      <c r="C801" s="82"/>
    </row>
    <row r="802">
      <c r="C802" s="82"/>
    </row>
    <row r="803">
      <c r="C803" s="82"/>
    </row>
    <row r="804">
      <c r="C804" s="82"/>
    </row>
    <row r="805">
      <c r="C805" s="82"/>
    </row>
    <row r="806">
      <c r="C806" s="82"/>
    </row>
    <row r="807">
      <c r="C807" s="82"/>
    </row>
    <row r="808">
      <c r="C808" s="82"/>
    </row>
    <row r="809">
      <c r="C809" s="82"/>
    </row>
    <row r="810">
      <c r="C810" s="82"/>
    </row>
    <row r="811">
      <c r="C811" s="82"/>
    </row>
    <row r="812">
      <c r="C812" s="82"/>
    </row>
    <row r="813">
      <c r="C813" s="82"/>
    </row>
    <row r="814">
      <c r="C814" s="82"/>
    </row>
    <row r="815">
      <c r="C815" s="82"/>
    </row>
    <row r="816">
      <c r="C816" s="82"/>
    </row>
    <row r="817">
      <c r="C817" s="82"/>
    </row>
    <row r="818">
      <c r="C818" s="82"/>
    </row>
    <row r="819">
      <c r="C819" s="82"/>
    </row>
    <row r="820">
      <c r="C820" s="82"/>
    </row>
    <row r="821">
      <c r="C821" s="82"/>
    </row>
    <row r="822">
      <c r="C822" s="82"/>
    </row>
    <row r="823">
      <c r="C823" s="82"/>
    </row>
    <row r="824">
      <c r="C824" s="82"/>
    </row>
    <row r="825">
      <c r="C825" s="82"/>
    </row>
    <row r="826">
      <c r="C826" s="82"/>
    </row>
    <row r="827">
      <c r="C827" s="82"/>
    </row>
    <row r="828">
      <c r="C828" s="82"/>
    </row>
    <row r="829">
      <c r="C829" s="82"/>
    </row>
    <row r="830">
      <c r="C830" s="82"/>
    </row>
    <row r="831">
      <c r="C831" s="82"/>
    </row>
    <row r="832">
      <c r="C832" s="82"/>
    </row>
    <row r="833">
      <c r="C833" s="82"/>
    </row>
    <row r="834">
      <c r="C834" s="82"/>
    </row>
    <row r="835">
      <c r="C835" s="82"/>
    </row>
    <row r="836">
      <c r="C836" s="82"/>
    </row>
    <row r="837">
      <c r="C837" s="82"/>
    </row>
    <row r="838">
      <c r="C838" s="82"/>
    </row>
    <row r="839">
      <c r="C839" s="82"/>
    </row>
    <row r="840">
      <c r="C840" s="82"/>
    </row>
    <row r="841">
      <c r="C841" s="82"/>
    </row>
    <row r="842">
      <c r="C842" s="82"/>
    </row>
    <row r="843">
      <c r="C843" s="82"/>
    </row>
    <row r="844">
      <c r="C844" s="82"/>
    </row>
    <row r="845">
      <c r="C845" s="82"/>
    </row>
    <row r="846">
      <c r="C846" s="82"/>
    </row>
    <row r="847">
      <c r="C847" s="82"/>
    </row>
    <row r="848">
      <c r="C848" s="82"/>
    </row>
    <row r="849">
      <c r="C849" s="82"/>
    </row>
    <row r="850">
      <c r="C850" s="82"/>
    </row>
    <row r="851">
      <c r="C851" s="82"/>
    </row>
    <row r="852">
      <c r="C852" s="82"/>
    </row>
    <row r="853">
      <c r="C853" s="82"/>
    </row>
    <row r="854">
      <c r="C854" s="82"/>
    </row>
    <row r="855">
      <c r="C855" s="82"/>
    </row>
    <row r="856">
      <c r="C856" s="82"/>
    </row>
    <row r="857">
      <c r="C857" s="82"/>
    </row>
    <row r="858">
      <c r="C858" s="82"/>
    </row>
    <row r="859">
      <c r="C859" s="82"/>
    </row>
    <row r="860">
      <c r="C860" s="82"/>
    </row>
    <row r="861">
      <c r="C861" s="82"/>
    </row>
    <row r="862">
      <c r="C862" s="82"/>
    </row>
    <row r="863">
      <c r="C863" s="82"/>
    </row>
    <row r="864">
      <c r="C864" s="82"/>
    </row>
    <row r="865">
      <c r="C865" s="82"/>
    </row>
    <row r="866">
      <c r="C866" s="82"/>
    </row>
    <row r="867">
      <c r="C867" s="82"/>
    </row>
    <row r="868">
      <c r="C868" s="82"/>
    </row>
    <row r="869">
      <c r="C869" s="82"/>
    </row>
    <row r="870">
      <c r="C870" s="82"/>
    </row>
    <row r="871">
      <c r="C871" s="82"/>
    </row>
    <row r="872">
      <c r="C872" s="82"/>
    </row>
    <row r="873">
      <c r="C873" s="82"/>
    </row>
    <row r="874">
      <c r="C874" s="82"/>
    </row>
    <row r="875">
      <c r="C875" s="82"/>
    </row>
    <row r="876">
      <c r="C876" s="82"/>
    </row>
    <row r="877">
      <c r="C877" s="82"/>
    </row>
    <row r="878">
      <c r="C878" s="82"/>
    </row>
    <row r="879">
      <c r="C879" s="82"/>
    </row>
    <row r="880">
      <c r="C880" s="82"/>
    </row>
    <row r="881">
      <c r="C881" s="82"/>
    </row>
    <row r="882">
      <c r="C882" s="82"/>
    </row>
    <row r="883">
      <c r="C883" s="82"/>
    </row>
    <row r="884">
      <c r="C884" s="82"/>
    </row>
    <row r="885">
      <c r="C885" s="82"/>
    </row>
    <row r="886">
      <c r="C886" s="82"/>
    </row>
    <row r="887">
      <c r="C887" s="82"/>
    </row>
    <row r="888">
      <c r="C888" s="82"/>
    </row>
    <row r="889">
      <c r="C889" s="82"/>
    </row>
    <row r="890">
      <c r="C890" s="82"/>
    </row>
    <row r="891">
      <c r="C891" s="82"/>
    </row>
    <row r="892">
      <c r="C892" s="82"/>
    </row>
    <row r="893">
      <c r="C893" s="82"/>
    </row>
    <row r="894">
      <c r="C894" s="82"/>
    </row>
    <row r="895">
      <c r="C895" s="82"/>
    </row>
    <row r="896">
      <c r="C896" s="82"/>
    </row>
    <row r="897">
      <c r="C897" s="82"/>
    </row>
    <row r="898">
      <c r="C898" s="82"/>
    </row>
    <row r="899">
      <c r="C899" s="82"/>
    </row>
    <row r="900">
      <c r="C900" s="82"/>
    </row>
    <row r="901">
      <c r="C901" s="82"/>
    </row>
    <row r="902">
      <c r="C902" s="82"/>
    </row>
    <row r="903">
      <c r="C903" s="82"/>
    </row>
    <row r="904">
      <c r="C904" s="82"/>
    </row>
    <row r="905">
      <c r="C905" s="82"/>
    </row>
    <row r="906">
      <c r="C906" s="82"/>
    </row>
    <row r="907">
      <c r="C907" s="82"/>
    </row>
    <row r="908">
      <c r="C908" s="82"/>
    </row>
    <row r="909">
      <c r="C909" s="82"/>
    </row>
    <row r="910">
      <c r="C910" s="82"/>
    </row>
    <row r="911">
      <c r="C911" s="82"/>
    </row>
    <row r="912">
      <c r="C912" s="82"/>
    </row>
    <row r="913">
      <c r="C913" s="82"/>
    </row>
    <row r="914">
      <c r="C914" s="82"/>
    </row>
    <row r="915">
      <c r="C915" s="82"/>
    </row>
    <row r="916">
      <c r="C916" s="82"/>
    </row>
    <row r="917">
      <c r="C917" s="82"/>
    </row>
    <row r="918">
      <c r="C918" s="82"/>
    </row>
    <row r="919">
      <c r="C919" s="82"/>
    </row>
    <row r="920">
      <c r="C920" s="82"/>
    </row>
    <row r="921">
      <c r="C921" s="82"/>
    </row>
    <row r="922">
      <c r="C922" s="82"/>
    </row>
    <row r="923">
      <c r="C923" s="82"/>
    </row>
    <row r="924">
      <c r="C924" s="82"/>
    </row>
    <row r="925">
      <c r="C925" s="82"/>
    </row>
    <row r="926">
      <c r="C926" s="82"/>
    </row>
    <row r="927">
      <c r="C927" s="82"/>
    </row>
    <row r="928">
      <c r="C928" s="82"/>
    </row>
    <row r="929">
      <c r="C929" s="82"/>
    </row>
    <row r="930">
      <c r="C930" s="82"/>
    </row>
    <row r="931">
      <c r="C931" s="82"/>
    </row>
    <row r="932">
      <c r="C932" s="82"/>
    </row>
    <row r="933">
      <c r="C933" s="82"/>
    </row>
    <row r="934">
      <c r="C934" s="82"/>
    </row>
    <row r="935">
      <c r="C935" s="82"/>
    </row>
    <row r="936">
      <c r="C936" s="82"/>
    </row>
    <row r="937">
      <c r="C937" s="82"/>
    </row>
    <row r="938">
      <c r="C938" s="82"/>
    </row>
    <row r="939">
      <c r="C939" s="82"/>
    </row>
    <row r="940">
      <c r="C940" s="82"/>
    </row>
    <row r="941">
      <c r="C941" s="82"/>
    </row>
    <row r="942">
      <c r="C942" s="82"/>
    </row>
    <row r="943">
      <c r="C943" s="82"/>
    </row>
    <row r="944">
      <c r="C944" s="82"/>
    </row>
    <row r="945">
      <c r="C945" s="82"/>
    </row>
    <row r="946">
      <c r="C946" s="82"/>
    </row>
    <row r="947">
      <c r="C947" s="82"/>
    </row>
    <row r="948">
      <c r="C948" s="82"/>
    </row>
    <row r="949">
      <c r="C949" s="82"/>
    </row>
    <row r="950">
      <c r="C950" s="82"/>
    </row>
    <row r="951">
      <c r="C951" s="82"/>
    </row>
    <row r="952">
      <c r="C952" s="82"/>
    </row>
    <row r="953">
      <c r="C953" s="82"/>
    </row>
    <row r="954">
      <c r="C954" s="82"/>
    </row>
    <row r="955">
      <c r="C955" s="82"/>
    </row>
    <row r="956">
      <c r="C956" s="82"/>
    </row>
    <row r="957">
      <c r="C957" s="82"/>
    </row>
    <row r="958">
      <c r="C958" s="82"/>
    </row>
    <row r="959">
      <c r="C959" s="82"/>
    </row>
    <row r="960">
      <c r="C960" s="82"/>
    </row>
    <row r="961">
      <c r="C961" s="82"/>
    </row>
    <row r="962">
      <c r="C962" s="82"/>
    </row>
    <row r="963">
      <c r="C963" s="82"/>
    </row>
    <row r="964">
      <c r="C964" s="82"/>
    </row>
    <row r="965">
      <c r="C965" s="82"/>
    </row>
    <row r="966">
      <c r="C966" s="82"/>
    </row>
    <row r="967">
      <c r="C967" s="82"/>
    </row>
    <row r="968">
      <c r="C968" s="82"/>
    </row>
    <row r="969">
      <c r="C969" s="82"/>
    </row>
    <row r="970">
      <c r="C970" s="82"/>
    </row>
    <row r="971">
      <c r="C971" s="82"/>
    </row>
    <row r="972">
      <c r="C972" s="82"/>
    </row>
    <row r="973">
      <c r="C973" s="82"/>
    </row>
    <row r="974">
      <c r="C974" s="82"/>
    </row>
    <row r="975">
      <c r="C975" s="82"/>
    </row>
    <row r="976">
      <c r="C976" s="82"/>
    </row>
    <row r="977">
      <c r="C977" s="82"/>
    </row>
    <row r="978">
      <c r="C978" s="82"/>
    </row>
    <row r="979">
      <c r="C979" s="82"/>
    </row>
    <row r="980">
      <c r="C980" s="82"/>
    </row>
    <row r="981">
      <c r="C981" s="82"/>
    </row>
    <row r="982">
      <c r="C982" s="82"/>
    </row>
    <row r="983">
      <c r="C983" s="82"/>
    </row>
    <row r="984">
      <c r="C984" s="82"/>
    </row>
    <row r="985">
      <c r="C985" s="82"/>
    </row>
    <row r="986">
      <c r="C986" s="82"/>
    </row>
    <row r="987">
      <c r="C987" s="82"/>
    </row>
    <row r="988">
      <c r="C988" s="82"/>
    </row>
    <row r="989">
      <c r="C989" s="82"/>
    </row>
    <row r="990">
      <c r="C990" s="82"/>
    </row>
    <row r="991">
      <c r="C991" s="82"/>
    </row>
    <row r="992">
      <c r="C992" s="82"/>
    </row>
    <row r="993">
      <c r="C993" s="82"/>
    </row>
    <row r="994">
      <c r="C994" s="82"/>
    </row>
    <row r="995">
      <c r="C995" s="82"/>
    </row>
    <row r="996">
      <c r="C996" s="82"/>
    </row>
    <row r="997">
      <c r="C997" s="82"/>
    </row>
    <row r="998">
      <c r="C998" s="82"/>
    </row>
    <row r="999">
      <c r="C999" s="82"/>
    </row>
    <row r="1000">
      <c r="C1000" s="82"/>
    </row>
    <row r="1001">
      <c r="C1001" s="82"/>
    </row>
    <row r="1002">
      <c r="C1002" s="82"/>
    </row>
  </sheetData>
  <conditionalFormatting sqref="B3:B100">
    <cfRule type="expression" dxfId="1" priority="1">
      <formula>$D3&gt;$D$1</formula>
    </cfRule>
  </conditionalFormatting>
  <conditionalFormatting sqref="A3:A100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647</v>
      </c>
      <c r="B1" s="80">
        <f>COUNTIF(A3:A1001,"*L4*")</f>
        <v>0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4" t="str">
        <f>IFERROR(__xludf.DUMMYFUNCTION("QUERY(Master!A2:B1001, ""SELECT A, B WHERE A STARTS WITH 'L4-006'"", 0)"),"#N/A")</f>
        <v>#N/A</v>
      </c>
      <c r="C3" s="4" t="str">
        <f t="array" ref="C3">XLOOKUP(A3,DB!C:C,DB!K:K)</f>
        <v>#N/A</v>
      </c>
      <c r="D3" s="4" t="str">
        <f t="array" ref="D3">XLOOKUP(A3,DB!C:C,DB!B:B)</f>
        <v>#N/A</v>
      </c>
      <c r="E3" s="82" t="str">
        <f t="array" ref="E3">XLOOKUP(A3,DB!C:C,DB!F:F,"" )</f>
        <v>#N/A</v>
      </c>
    </row>
    <row r="4">
      <c r="A4" s="4"/>
      <c r="C4" s="4" t="str">
        <f t="array" ref="C4">XLOOKUP(A4,DB!C:C,DB!K:K)</f>
        <v>#N/A</v>
      </c>
      <c r="D4" s="4" t="str">
        <f t="array" ref="D4">XLOOKUP(A4,DB!C:C,DB!B:B)</f>
        <v>#N/A</v>
      </c>
      <c r="E4" s="82" t="str">
        <f t="array" ref="E4">XLOOKUP(A4,DB!C:C,DB!F:F,"" )</f>
        <v/>
      </c>
    </row>
    <row r="5">
      <c r="A5" s="4"/>
      <c r="C5" s="4" t="str">
        <f t="array" ref="C5">XLOOKUP(A5,DB!C:C,DB!K:K)</f>
        <v>#N/A</v>
      </c>
      <c r="D5" s="4" t="str">
        <f t="array" ref="D5">XLOOKUP(A5,DB!C:C,DB!B:B)</f>
        <v>#N/A</v>
      </c>
      <c r="E5" s="82" t="str">
        <f t="array" ref="E5">XLOOKUP(A5,DB!C:C,DB!F:F,"" )</f>
        <v/>
      </c>
    </row>
    <row r="6">
      <c r="A6" s="4"/>
      <c r="C6" s="4" t="str">
        <f t="array" ref="C6">XLOOKUP(A6,DB!C:C,DB!K:K)</f>
        <v>#N/A</v>
      </c>
      <c r="D6" s="4" t="str">
        <f t="array" ref="D6">XLOOKUP(A6,DB!C:C,DB!B:B)</f>
        <v>#N/A</v>
      </c>
      <c r="E6" s="82" t="str">
        <f t="array" ref="E6">XLOOKUP(A6,DB!C:C,DB!F:F,"" )</f>
        <v/>
      </c>
    </row>
    <row r="7">
      <c r="A7" s="4"/>
      <c r="C7" s="4" t="str">
        <f t="array" ref="C7">XLOOKUP(A7,DB!C:C,DB!K:K)</f>
        <v>#N/A</v>
      </c>
      <c r="D7" s="4" t="str">
        <f t="array" ref="D7">XLOOKUP(A7,DB!C:C,DB!B:B)</f>
        <v>#N/A</v>
      </c>
      <c r="E7" s="82" t="str">
        <f t="array" ref="E7">XLOOKUP(A7,DB!C:C,DB!F:F,"" )</f>
        <v/>
      </c>
    </row>
    <row r="8">
      <c r="A8" s="4"/>
      <c r="C8" s="4" t="str">
        <f t="array" ref="C8">XLOOKUP(A8,DB!C:C,DB!K:K)</f>
        <v>#N/A</v>
      </c>
      <c r="D8" s="4" t="str">
        <f t="array" ref="D8">XLOOKUP(A8,DB!C:C,DB!B:B)</f>
        <v>#N/A</v>
      </c>
      <c r="E8" s="82" t="str">
        <f t="array" ref="E8">XLOOKUP(A8,DB!C:C,DB!F:F,"" )</f>
        <v/>
      </c>
    </row>
    <row r="9">
      <c r="A9" s="4"/>
      <c r="C9" s="4" t="str">
        <f t="array" ref="C9">XLOOKUP(A9,DB!C:C,DB!K:K)</f>
        <v>#N/A</v>
      </c>
      <c r="D9" s="4" t="str">
        <f t="array" ref="D9">XLOOKUP(A9,DB!C:C,DB!B:B)</f>
        <v>#N/A</v>
      </c>
      <c r="E9" s="82" t="str">
        <f t="array" ref="E9">XLOOKUP(A9,DB!C:C,DB!F:F,"" )</f>
        <v/>
      </c>
    </row>
    <row r="10">
      <c r="A10" s="4"/>
      <c r="C10" s="4" t="str">
        <f t="array" ref="C10">XLOOKUP(A10,DB!C:C,DB!K:K)</f>
        <v>#N/A</v>
      </c>
      <c r="D10" s="4" t="str">
        <f t="array" ref="D10">XLOOKUP(A10,DB!C:C,DB!B:B)</f>
        <v>#N/A</v>
      </c>
      <c r="E10" s="82" t="str">
        <f t="array" ref="E10">XLOOKUP(A10,DB!C:C,DB!F:F,"" )</f>
        <v/>
      </c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</sheetData>
  <conditionalFormatting sqref="B3:B100">
    <cfRule type="expression" dxfId="1" priority="1">
      <formula>$D3&gt;$D$1</formula>
    </cfRule>
  </conditionalFormatting>
  <conditionalFormatting sqref="A3:A100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647</v>
      </c>
      <c r="B1" s="80">
        <f>COUNTIF(A3:A1002,"*L4*")</f>
        <v>4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4" t="str">
        <f>IFERROR(__xludf.DUMMYFUNCTION("QUERY(Master!A2:B1002, ""SELECT A, B WHERE A STARTS WITH 'L4-008'"", 0)"),"L4-008-00010")</f>
        <v>L4-008-00010</v>
      </c>
      <c r="B3" s="4" t="str">
        <f>IFERROR(__xludf.DUMMYFUNCTION("""COMPUTED_VALUE"""),"Board of Investments")</f>
        <v>Board of Investments</v>
      </c>
      <c r="C3" s="4" t="str">
        <f t="array" ref="C3">XLOOKUP(A3,DB!C:C,DB!K:K)</f>
        <v/>
      </c>
      <c r="D3" s="73">
        <f t="array" ref="D3">XLOOKUP(A3,DB!C:C,DB!B:B)</f>
        <v>45780</v>
      </c>
    </row>
    <row r="4">
      <c r="A4" s="4" t="str">
        <f>IFERROR(__xludf.DUMMYFUNCTION("""COMPUTED_VALUE"""),"L4-008-006F2")</f>
        <v>L4-008-006F2</v>
      </c>
      <c r="B4" s="4" t="str">
        <f>IFERROR(__xludf.DUMMYFUNCTION("""COMPUTED_VALUE"""),"Hen. Pio del Pilar Elementary School I")</f>
        <v>Hen. Pio del Pilar Elementary School I</v>
      </c>
      <c r="D4" s="4" t="str">
        <f t="array" ref="D4">XLOOKUP(A4,DB!C:C,DB!B:B)</f>
        <v>#N/A</v>
      </c>
    </row>
    <row r="5">
      <c r="A5" s="4" t="str">
        <f>IFERROR(__xludf.DUMMYFUNCTION("""COMPUTED_VALUE"""),"L4-008-00701")</f>
        <v>L4-008-00701</v>
      </c>
      <c r="B5" s="4" t="str">
        <f>IFERROR(__xludf.DUMMYFUNCTION("""COMPUTED_VALUE"""),"Makati Elementary School")</f>
        <v>Makati Elementary School</v>
      </c>
      <c r="D5" s="4" t="str">
        <f t="array" ref="D5">XLOOKUP(A5,DB!C:C,DB!B:B)</f>
        <v>#N/A</v>
      </c>
    </row>
    <row r="6">
      <c r="A6" s="4" t="str">
        <f>IFERROR(__xludf.DUMMYFUNCTION("""COMPUTED_VALUE"""),"L4-008-06395")</f>
        <v>L4-008-06395</v>
      </c>
      <c r="B6" s="4" t="str">
        <f>IFERROR(__xludf.DUMMYFUNCTION("""COMPUTED_VALUE"""),"Philippine National Police Aviation Security Group")</f>
        <v>Philippine National Police Aviation Security Group</v>
      </c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</sheetData>
  <conditionalFormatting sqref="B3:B100">
    <cfRule type="expression" dxfId="1" priority="1">
      <formula>$D3&gt;$D$1</formula>
    </cfRule>
  </conditionalFormatting>
  <conditionalFormatting sqref="A3:A100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647</v>
      </c>
      <c r="B1" s="80">
        <f>COUNTIF(A3:A1002,"*L4*")</f>
        <v>0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2" t="str">
        <f>IFERROR(__xludf.DUMMYFUNCTION("QUERY(Master!A2:B1002, ""SELECT A, B WHERE A STARTS WITH 'L4-014'"", 0)"),"#N/A")</f>
        <v>#N/A</v>
      </c>
      <c r="C3" s="4" t="str">
        <f t="array" ref="C3">XLOOKUP(A3,DB!C:C,DB!K:K)</f>
        <v>#N/A</v>
      </c>
      <c r="D3" s="4" t="str">
        <f t="array" ref="D3">XLOOKUP(A3,DB!C:C,DB!B:B)</f>
        <v>#N/A</v>
      </c>
    </row>
    <row r="4">
      <c r="A4" s="4"/>
      <c r="D4" s="4" t="str">
        <f t="array" ref="D4">XLOOKUP(A4,DB!C:C,DB!B:B)</f>
        <v>#N/A</v>
      </c>
    </row>
    <row r="5">
      <c r="A5" s="4"/>
      <c r="D5" s="4" t="str">
        <f t="array" ref="D5">XLOOKUP(A5,DB!C:C,DB!B:B)</f>
        <v>#N/A</v>
      </c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</sheetData>
  <conditionalFormatting sqref="B6:B100">
    <cfRule type="expression" dxfId="1" priority="1">
      <formula>$D6&gt;$D$1</formula>
    </cfRule>
  </conditionalFormatting>
  <conditionalFormatting sqref="B3:B100">
    <cfRule type="expression" dxfId="1" priority="2">
      <formula>$D3&gt;$D$1</formula>
    </cfRule>
  </conditionalFormatting>
  <conditionalFormatting sqref="A3:A100">
    <cfRule type="expression" dxfId="0" priority="3">
      <formula>COUNTIF($A$3:A3, A3) &gt; 1</formula>
    </cfRule>
  </conditionalFormatting>
  <conditionalFormatting sqref="A3:A100">
    <cfRule type="expression" dxfId="0" priority="4">
      <formula>COUNTIF(INDIRECT("DB!C:C"), A3)&gt;0
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647</v>
      </c>
      <c r="B1" s="80">
        <f>COUNTIF(A3:A1002,"*L4*")</f>
        <v>0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2" t="str">
        <f>IFERROR(__xludf.DUMMYFUNCTION("QUERY(Master!A2:B1002, ""SELECT A, B WHERE A STARTS WITH 'L4-009'"", 0)"),"#N/A")</f>
        <v>#N/A</v>
      </c>
      <c r="C3" s="4" t="str">
        <f t="array" ref="C3">XLOOKUP(A3,DB!C:C,DB!K:K)</f>
        <v>#N/A</v>
      </c>
      <c r="D3" s="4" t="str">
        <f t="array" ref="D3">XLOOKUP(A3,DB!C:C,DB!B:B)</f>
        <v>#N/A</v>
      </c>
    </row>
    <row r="4">
      <c r="A4" s="4"/>
      <c r="C4" s="4" t="str">
        <f t="array" ref="C4">XLOOKUP(A4,DB!C:C,DB!K:K)</f>
        <v>#N/A</v>
      </c>
      <c r="D4" s="4" t="str">
        <f t="array" ref="D4">XLOOKUP(A4,DB!C:C,DB!B:B)</f>
        <v>#N/A</v>
      </c>
    </row>
    <row r="5">
      <c r="A5" s="4"/>
      <c r="C5" s="4" t="str">
        <f t="array" ref="C5">XLOOKUP(A5,DB!C:C,DB!K:K)</f>
        <v>#N/A</v>
      </c>
      <c r="D5" s="4" t="str">
        <f t="array" ref="D5">XLOOKUP(A5,DB!C:C,DB!B:B)</f>
        <v>#N/A</v>
      </c>
    </row>
    <row r="6">
      <c r="A6" s="4"/>
      <c r="C6" s="4" t="str">
        <f t="array" ref="C6">XLOOKUP(A6,DB!C:C,DB!K:K)</f>
        <v>#N/A</v>
      </c>
      <c r="D6" s="4" t="str">
        <f t="array" ref="D6">XLOOKUP(A6,DB!C:C,DB!B:B)</f>
        <v>#N/A</v>
      </c>
    </row>
    <row r="7">
      <c r="A7" s="4"/>
      <c r="C7" s="4" t="str">
        <f t="array" ref="C7">XLOOKUP(A7,DB!C:C,DB!K:K)</f>
        <v>#N/A</v>
      </c>
      <c r="D7" s="4" t="str">
        <f t="array" ref="D7">XLOOKUP(A7,DB!C:C,DB!B:B)</f>
        <v>#N/A</v>
      </c>
    </row>
    <row r="8">
      <c r="A8" s="4"/>
      <c r="C8" s="4" t="str">
        <f t="array" ref="C8">XLOOKUP(A8,DB!C:C,DB!K:K)</f>
        <v>#N/A</v>
      </c>
      <c r="D8" s="4" t="str">
        <f t="array" ref="D8">XLOOKUP(A8,DB!C:C,DB!B:B)</f>
        <v>#N/A</v>
      </c>
    </row>
    <row r="9">
      <c r="A9" s="4"/>
      <c r="C9" s="4" t="str">
        <f t="array" ref="C9">XLOOKUP(A9,DB!C:C,DB!K:K)</f>
        <v>#N/A</v>
      </c>
      <c r="D9" s="4" t="str">
        <f t="array" ref="D9">XLOOKUP(A9,DB!C:C,DB!B:B)</f>
        <v>#N/A</v>
      </c>
    </row>
    <row r="10">
      <c r="A10" s="4"/>
      <c r="C10" s="4" t="str">
        <f t="array" ref="C10">XLOOKUP(A10,DB!C:C,DB!K:K)</f>
        <v>#N/A</v>
      </c>
      <c r="D10" s="4" t="str">
        <f t="array" ref="D10">XLOOKUP(A10,DB!C:C,DB!B:B)</f>
        <v>#N/A</v>
      </c>
    </row>
    <row r="11">
      <c r="A11" s="4"/>
      <c r="C11" s="4" t="str">
        <f t="array" ref="C11">XLOOKUP(A11,DB!C:C,DB!K:K)</f>
        <v>#N/A</v>
      </c>
      <c r="D11" s="4" t="str">
        <f t="array" ref="D11">XLOOKUP(A11,DB!C:C,DB!B:B)</f>
        <v>#N/A</v>
      </c>
    </row>
    <row r="12">
      <c r="A12" s="4"/>
      <c r="C12" s="4" t="str">
        <f t="array" ref="C12">XLOOKUP(A12,DB!C:C,DB!K:K)</f>
        <v>#N/A</v>
      </c>
      <c r="D12" s="4" t="str">
        <f t="array" ref="D12">XLOOKUP(A12,DB!C:C,DB!B:B)</f>
        <v>#N/A</v>
      </c>
    </row>
    <row r="13">
      <c r="A13" s="4"/>
      <c r="C13" s="4" t="str">
        <f t="array" ref="C13">XLOOKUP(A13,DB!C:C,DB!K:K)</f>
        <v>#N/A</v>
      </c>
      <c r="D13" s="4" t="str">
        <f t="array" ref="D13">XLOOKUP(A13,DB!C:C,DB!B:B)</f>
        <v>#N/A</v>
      </c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647</v>
      </c>
      <c r="B1" s="80">
        <f>COUNTIF(A3:A1002,"*L4*")</f>
        <v>0</v>
      </c>
      <c r="C1" s="1"/>
      <c r="D1" s="81">
        <f>MAIN!C2</f>
        <v>46154</v>
      </c>
    </row>
    <row r="2">
      <c r="A2" s="89" t="s">
        <v>2</v>
      </c>
      <c r="B2" s="90" t="s">
        <v>648</v>
      </c>
      <c r="C2" s="90" t="s">
        <v>649</v>
      </c>
      <c r="D2" s="91" t="s">
        <v>650</v>
      </c>
      <c r="E2" s="83" t="s">
        <v>651</v>
      </c>
    </row>
    <row r="3">
      <c r="A3" s="4" t="str">
        <f>IFERROR(__xludf.DUMMYFUNCTION("QUERY(Master!A2:B1002, ""SELECT A, B WHERE A STARTS WITH 'L4-002'"", 0)"),"#N/A")</f>
        <v>#N/A</v>
      </c>
      <c r="C3" s="4" t="str">
        <f t="array" ref="C3">XLOOKUP(A3,DB!C:C,DB!K:K)</f>
        <v>#N/A</v>
      </c>
      <c r="D3" s="4" t="str">
        <f t="array" ref="D3">XLOOKUP(A3,DB!C:C,DB!B:B,)</f>
        <v>#N/A</v>
      </c>
      <c r="E3" s="82" t="str">
        <f t="array" ref="E3">XLOOKUP(A3,DB!C:C,DB!F:F,"" )</f>
        <v>#N/A</v>
      </c>
    </row>
    <row r="4">
      <c r="A4" s="4"/>
      <c r="C4" s="4" t="str">
        <f t="array" ref="C4">XLOOKUP(A4,DB!C:C,DB!K:K)</f>
        <v>#N/A</v>
      </c>
      <c r="D4" s="4" t="str">
        <f t="array" ref="D4">XLOOKUP(A4,DB!C:C,DB!B:B,)</f>
        <v/>
      </c>
      <c r="E4" s="82" t="str">
        <f t="array" ref="E4">XLOOKUP(A4,DB!C:C,DB!F:F,"" )</f>
        <v/>
      </c>
    </row>
    <row r="5">
      <c r="A5" s="4"/>
      <c r="C5" s="4" t="str">
        <f t="array" ref="C5">XLOOKUP(A5,DB!C:C,DB!K:K)</f>
        <v>#N/A</v>
      </c>
      <c r="D5" s="4" t="str">
        <f t="array" ref="D5">XLOOKUP(A5,DB!C:C,DB!B:B,)</f>
        <v/>
      </c>
      <c r="E5" s="82" t="str">
        <f t="array" ref="E5">XLOOKUP(A5,DB!C:C,DB!F:F,"" )</f>
        <v/>
      </c>
    </row>
    <row r="6">
      <c r="A6" s="4"/>
      <c r="C6" s="4" t="str">
        <f t="array" ref="C6">XLOOKUP(A6,DB!C:C,DB!K:K)</f>
        <v>#N/A</v>
      </c>
      <c r="D6" s="4" t="str">
        <f t="array" ref="D6">XLOOKUP(A6,DB!C:C,DB!B:B,)</f>
        <v/>
      </c>
      <c r="E6" s="82" t="str">
        <f t="array" ref="E6">XLOOKUP(A6,DB!C:C,DB!F:F,"" )</f>
        <v/>
      </c>
    </row>
    <row r="7">
      <c r="A7" s="4"/>
      <c r="C7" s="4" t="str">
        <f t="array" ref="C7">XLOOKUP(A7,DB!C:C,DB!K:K)</f>
        <v>#N/A</v>
      </c>
      <c r="D7" s="4" t="str">
        <f t="array" ref="D7">XLOOKUP(A7,DB!C:C,DB!B:B,)</f>
        <v/>
      </c>
      <c r="E7" s="82" t="str">
        <f t="array" ref="E7">XLOOKUP(A7,DB!C:C,DB!F:F,"" )</f>
        <v/>
      </c>
    </row>
    <row r="8">
      <c r="A8" s="4"/>
      <c r="C8" s="4" t="str">
        <f t="array" ref="C8">XLOOKUP(A8,DB!C:C,DB!K:K)</f>
        <v>#N/A</v>
      </c>
      <c r="D8" s="4" t="str">
        <f t="array" ref="D8">XLOOKUP(A8,DB!C:C,DB!B:B,)</f>
        <v/>
      </c>
      <c r="E8" s="82" t="str">
        <f t="array" ref="E8">XLOOKUP(A8,DB!C:C,DB!F:F,"" )</f>
        <v/>
      </c>
    </row>
    <row r="9">
      <c r="A9" s="4"/>
      <c r="C9" s="4" t="str">
        <f t="array" ref="C9">XLOOKUP(A9,DB!C:C,DB!K:K)</f>
        <v>#N/A</v>
      </c>
      <c r="D9" s="4" t="str">
        <f t="array" ref="D9">XLOOKUP(A9,DB!C:C,DB!B:B,)</f>
        <v/>
      </c>
      <c r="E9" s="82" t="str">
        <f t="array" ref="E9">XLOOKUP(A9,DB!C:C,DB!F:F,"" )</f>
        <v/>
      </c>
    </row>
    <row r="10">
      <c r="A10" s="4"/>
      <c r="C10" s="4" t="str">
        <f t="array" ref="C10">XLOOKUP(A10,DB!C:C,DB!K:K)</f>
        <v>#N/A</v>
      </c>
      <c r="D10" s="4" t="str">
        <f t="array" ref="D10">XLOOKUP(A10,DB!C:C,DB!B:B,)</f>
        <v/>
      </c>
      <c r="E10" s="82" t="str">
        <f t="array" ref="E10">XLOOKUP(A10,DB!C:C,DB!F:F,"" )</f>
        <v/>
      </c>
    </row>
    <row r="11">
      <c r="A11" s="4"/>
      <c r="C11" s="4" t="str">
        <f t="array" ref="C11">XLOOKUP(A11,DB!C:C,DB!K:K)</f>
        <v>#N/A</v>
      </c>
      <c r="D11" s="4" t="str">
        <f t="array" ref="D11">XLOOKUP(A11,DB!C:C,DB!B:B,)</f>
        <v/>
      </c>
      <c r="E11" s="82" t="str">
        <f t="array" ref="E11">XLOOKUP(A11,DB!C:C,DB!F:F,"" )</f>
        <v/>
      </c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5" max="5" width="18.63"/>
  </cols>
  <sheetData>
    <row r="1">
      <c r="A1" s="1" t="s">
        <v>647</v>
      </c>
      <c r="B1" s="80">
        <f>COUNTIF(A3:A1002,"*L4*")</f>
        <v>1</v>
      </c>
      <c r="C1" s="1"/>
      <c r="D1" s="81">
        <f>MAIN!C2</f>
        <v>46154</v>
      </c>
      <c r="E1" s="82"/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4" t="str">
        <f>IFERROR(__xludf.DUMMYFUNCTION("QUERY(Master!A2:B1002, ""SELECT A, B WHERE A STARTS WITH 'L4-015'"", 0)"),"L4-015-0004B")</f>
        <v>L4-015-0004B</v>
      </c>
      <c r="B3" s="4" t="str">
        <f>IFERROR(__xludf.DUMMYFUNCTION("""COMPUTED_VALUE"""),"Overseas Workers Welfare Administration")</f>
        <v>Overseas Workers Welfare Administration</v>
      </c>
      <c r="C3" s="4" t="str">
        <f t="array" ref="C3">XLOOKUP(A3,DB!C:C,DB!K:K)</f>
        <v/>
      </c>
      <c r="D3" s="4" t="str">
        <f t="array" ref="D3">XLOOKUP(A3,DB!C:C,DB!B:B)</f>
        <v/>
      </c>
      <c r="E3" s="82" t="str">
        <f t="array" ref="E3">XLOOKUP(A3,DB!C:C,DB!F:F,"" )</f>
        <v/>
      </c>
    </row>
    <row r="4">
      <c r="A4" s="4"/>
      <c r="D4" s="4" t="str">
        <f t="array" ref="D4">XLOOKUP(A4,DB!C:C,DB!B:B)</f>
        <v>#N/A</v>
      </c>
      <c r="E4" s="82" t="str">
        <f t="array" ref="E4">XLOOKUP(A4,DB!C:C,DB!F:F,"" )</f>
        <v/>
      </c>
    </row>
    <row r="5">
      <c r="A5" s="4"/>
      <c r="E5" s="82" t="str">
        <f t="array" ref="E5">XLOOKUP(A5,DB!C:C,DB!F:F,"" )</f>
        <v/>
      </c>
    </row>
    <row r="6">
      <c r="A6" s="4"/>
      <c r="E6" s="82" t="str">
        <f t="array" ref="E6">XLOOKUP(A6,DB!C:C,DB!F:F,"" )</f>
        <v/>
      </c>
    </row>
    <row r="7">
      <c r="A7" s="4"/>
      <c r="E7" s="82" t="str">
        <f t="array" ref="E7">XLOOKUP(A7,DB!C:C,DB!F:F,"" )</f>
        <v/>
      </c>
    </row>
    <row r="8">
      <c r="A8" s="4"/>
      <c r="E8" s="82" t="str">
        <f t="array" ref="E8">XLOOKUP(A8,DB!C:C,DB!F:F,"" )</f>
        <v/>
      </c>
    </row>
    <row r="9">
      <c r="A9" s="4"/>
      <c r="E9" s="82" t="str">
        <f t="array" ref="E9">XLOOKUP(A9,DB!C:C,DB!F:F,"" )</f>
        <v/>
      </c>
    </row>
    <row r="10">
      <c r="A10" s="4"/>
      <c r="E10" s="82" t="str">
        <f t="array" ref="E10">XLOOKUP(A10,DB!C:C,DB!F:F,"" )</f>
        <v/>
      </c>
    </row>
    <row r="11">
      <c r="A11" s="4"/>
      <c r="E11" s="82"/>
    </row>
    <row r="12">
      <c r="A12" s="4"/>
      <c r="E12" s="82"/>
    </row>
    <row r="13">
      <c r="A13" s="4"/>
      <c r="E13" s="82"/>
    </row>
    <row r="14">
      <c r="A14" s="4"/>
      <c r="E14" s="82"/>
    </row>
    <row r="15">
      <c r="A15" s="4"/>
      <c r="E15" s="82"/>
    </row>
    <row r="16">
      <c r="A16" s="4"/>
      <c r="E16" s="82"/>
    </row>
    <row r="17">
      <c r="A17" s="4"/>
      <c r="E17" s="82"/>
    </row>
    <row r="18">
      <c r="A18" s="4"/>
      <c r="E18" s="82"/>
    </row>
    <row r="19">
      <c r="A19" s="4"/>
      <c r="E19" s="82"/>
    </row>
    <row r="20">
      <c r="A20" s="4"/>
      <c r="E20" s="82"/>
    </row>
    <row r="21">
      <c r="A21" s="4"/>
      <c r="E21" s="82"/>
    </row>
    <row r="22">
      <c r="A22" s="4"/>
      <c r="E22" s="82"/>
    </row>
    <row r="23">
      <c r="A23" s="4"/>
      <c r="E23" s="82"/>
    </row>
    <row r="24">
      <c r="A24" s="4"/>
      <c r="E24" s="82"/>
    </row>
    <row r="25">
      <c r="A25" s="4"/>
      <c r="E25" s="82"/>
    </row>
    <row r="26">
      <c r="A26" s="4"/>
      <c r="E26" s="82"/>
    </row>
    <row r="27">
      <c r="A27" s="4"/>
      <c r="E27" s="82"/>
    </row>
    <row r="28">
      <c r="A28" s="4"/>
      <c r="E28" s="82"/>
    </row>
    <row r="29">
      <c r="A29" s="4"/>
      <c r="E29" s="82"/>
    </row>
    <row r="30">
      <c r="A30" s="4"/>
      <c r="E30" s="82"/>
    </row>
    <row r="31">
      <c r="A31" s="4"/>
      <c r="E31" s="82"/>
    </row>
    <row r="32">
      <c r="A32" s="4"/>
      <c r="E32" s="82"/>
    </row>
    <row r="33">
      <c r="A33" s="4"/>
      <c r="E33" s="82"/>
    </row>
    <row r="34">
      <c r="A34" s="4"/>
      <c r="E34" s="82"/>
    </row>
    <row r="35">
      <c r="A35" s="4"/>
      <c r="E35" s="82"/>
    </row>
    <row r="36">
      <c r="A36" s="4"/>
      <c r="E36" s="82"/>
    </row>
    <row r="37">
      <c r="A37" s="4"/>
      <c r="E37" s="82"/>
    </row>
    <row r="38">
      <c r="A38" s="4"/>
      <c r="E38" s="82"/>
    </row>
    <row r="39">
      <c r="A39" s="4"/>
      <c r="E39" s="82"/>
    </row>
    <row r="40">
      <c r="A40" s="4"/>
      <c r="E40" s="82"/>
    </row>
    <row r="41">
      <c r="A41" s="4"/>
      <c r="E41" s="82"/>
    </row>
    <row r="42">
      <c r="A42" s="4"/>
      <c r="E42" s="82"/>
    </row>
    <row r="43">
      <c r="A43" s="4"/>
      <c r="E43" s="82"/>
    </row>
    <row r="44">
      <c r="A44" s="4"/>
      <c r="E44" s="82"/>
    </row>
    <row r="45">
      <c r="A45" s="4"/>
      <c r="E45" s="82"/>
    </row>
    <row r="46">
      <c r="A46" s="4"/>
      <c r="E46" s="82"/>
    </row>
    <row r="47">
      <c r="A47" s="4"/>
      <c r="E47" s="82"/>
    </row>
    <row r="48">
      <c r="A48" s="4"/>
      <c r="E48" s="82"/>
    </row>
    <row r="49">
      <c r="A49" s="4"/>
      <c r="E49" s="82"/>
    </row>
    <row r="50">
      <c r="A50" s="4"/>
      <c r="E50" s="82"/>
    </row>
    <row r="51">
      <c r="A51" s="4"/>
      <c r="E51" s="82"/>
    </row>
    <row r="52">
      <c r="A52" s="4"/>
      <c r="E52" s="82"/>
    </row>
    <row r="53">
      <c r="A53" s="4"/>
      <c r="E53" s="82"/>
    </row>
    <row r="54">
      <c r="A54" s="4"/>
      <c r="E54" s="82"/>
    </row>
    <row r="55">
      <c r="A55" s="4"/>
      <c r="E55" s="82"/>
    </row>
    <row r="56">
      <c r="A56" s="4"/>
      <c r="E56" s="82"/>
    </row>
    <row r="57">
      <c r="A57" s="4"/>
      <c r="E57" s="82"/>
    </row>
    <row r="58">
      <c r="A58" s="4"/>
      <c r="E58" s="82"/>
    </row>
    <row r="59">
      <c r="A59" s="4"/>
      <c r="E59" s="82"/>
    </row>
    <row r="60">
      <c r="A60" s="4"/>
      <c r="E60" s="82"/>
    </row>
    <row r="61">
      <c r="A61" s="4"/>
      <c r="E61" s="82"/>
    </row>
    <row r="62">
      <c r="A62" s="4"/>
      <c r="E62" s="82"/>
    </row>
    <row r="63">
      <c r="A63" s="4"/>
      <c r="E63" s="82"/>
    </row>
    <row r="64">
      <c r="A64" s="4"/>
      <c r="E64" s="82"/>
    </row>
    <row r="65">
      <c r="A65" s="4"/>
      <c r="E65" s="82"/>
    </row>
    <row r="66">
      <c r="A66" s="4"/>
      <c r="E66" s="82"/>
    </row>
    <row r="67">
      <c r="A67" s="4"/>
      <c r="E67" s="82"/>
    </row>
    <row r="68">
      <c r="A68" s="4"/>
      <c r="E68" s="82"/>
    </row>
    <row r="69">
      <c r="A69" s="4"/>
      <c r="E69" s="82"/>
    </row>
    <row r="70">
      <c r="A70" s="4"/>
      <c r="E70" s="82"/>
    </row>
    <row r="71">
      <c r="A71" s="4"/>
      <c r="E71" s="82"/>
    </row>
    <row r="72">
      <c r="A72" s="4"/>
      <c r="E72" s="82"/>
    </row>
    <row r="73">
      <c r="A73" s="4"/>
      <c r="E73" s="82"/>
    </row>
    <row r="74">
      <c r="A74" s="4"/>
      <c r="E74" s="82"/>
    </row>
    <row r="75">
      <c r="A75" s="4"/>
      <c r="E75" s="82"/>
    </row>
    <row r="76">
      <c r="A76" s="4"/>
      <c r="E76" s="82"/>
    </row>
    <row r="77">
      <c r="A77" s="4"/>
      <c r="E77" s="82"/>
    </row>
    <row r="78">
      <c r="A78" s="4"/>
      <c r="E78" s="82"/>
    </row>
    <row r="79">
      <c r="A79" s="4"/>
      <c r="E79" s="82"/>
    </row>
    <row r="80">
      <c r="A80" s="4"/>
      <c r="E80" s="82"/>
    </row>
    <row r="81">
      <c r="A81" s="4"/>
      <c r="E81" s="82"/>
    </row>
    <row r="82">
      <c r="A82" s="4"/>
      <c r="E82" s="82"/>
    </row>
    <row r="83">
      <c r="A83" s="4"/>
      <c r="E83" s="82"/>
    </row>
    <row r="84">
      <c r="A84" s="4"/>
      <c r="E84" s="82"/>
    </row>
    <row r="85">
      <c r="A85" s="4"/>
      <c r="E85" s="82"/>
    </row>
    <row r="86">
      <c r="A86" s="4"/>
      <c r="E86" s="82"/>
    </row>
    <row r="87">
      <c r="A87" s="4"/>
      <c r="E87" s="82"/>
    </row>
    <row r="88">
      <c r="A88" s="4"/>
      <c r="E88" s="82"/>
    </row>
    <row r="89">
      <c r="A89" s="4"/>
      <c r="E89" s="82"/>
    </row>
    <row r="90">
      <c r="A90" s="4"/>
      <c r="E90" s="82"/>
    </row>
    <row r="91">
      <c r="A91" s="4"/>
      <c r="E91" s="82"/>
    </row>
    <row r="92">
      <c r="A92" s="4"/>
      <c r="E92" s="82"/>
    </row>
    <row r="93">
      <c r="A93" s="4"/>
      <c r="E93" s="82"/>
    </row>
    <row r="94">
      <c r="A94" s="4"/>
      <c r="E94" s="82"/>
    </row>
    <row r="95">
      <c r="A95" s="4"/>
      <c r="E95" s="82"/>
    </row>
    <row r="96">
      <c r="A96" s="4"/>
      <c r="E96" s="82"/>
    </row>
    <row r="97">
      <c r="A97" s="4"/>
      <c r="E97" s="82"/>
    </row>
    <row r="98">
      <c r="A98" s="4"/>
      <c r="E98" s="82"/>
    </row>
    <row r="99">
      <c r="A99" s="4"/>
      <c r="E99" s="82"/>
    </row>
    <row r="100">
      <c r="A100" s="4"/>
      <c r="E100" s="82"/>
    </row>
    <row r="101">
      <c r="E101" s="82"/>
    </row>
    <row r="102">
      <c r="E102" s="82"/>
    </row>
    <row r="103">
      <c r="E103" s="82"/>
    </row>
    <row r="104">
      <c r="E104" s="82"/>
    </row>
    <row r="105">
      <c r="E105" s="82"/>
    </row>
    <row r="106">
      <c r="E106" s="82"/>
    </row>
    <row r="107">
      <c r="E107" s="82"/>
    </row>
    <row r="108">
      <c r="E108" s="82"/>
    </row>
    <row r="109">
      <c r="E109" s="82"/>
    </row>
    <row r="110">
      <c r="E110" s="82"/>
    </row>
    <row r="111">
      <c r="E111" s="82"/>
    </row>
    <row r="112">
      <c r="E112" s="82"/>
    </row>
    <row r="113">
      <c r="E113" s="82"/>
    </row>
    <row r="114">
      <c r="E114" s="82"/>
    </row>
    <row r="115">
      <c r="E115" s="82"/>
    </row>
    <row r="116">
      <c r="E116" s="82"/>
    </row>
    <row r="117">
      <c r="E117" s="82"/>
    </row>
    <row r="118">
      <c r="E118" s="82"/>
    </row>
    <row r="119">
      <c r="E119" s="82"/>
    </row>
    <row r="120">
      <c r="E120" s="82"/>
    </row>
    <row r="121">
      <c r="E121" s="82"/>
    </row>
    <row r="122">
      <c r="E122" s="82"/>
    </row>
    <row r="123">
      <c r="E123" s="82"/>
    </row>
    <row r="124">
      <c r="E124" s="82"/>
    </row>
    <row r="125">
      <c r="E125" s="82"/>
    </row>
    <row r="126">
      <c r="E126" s="82"/>
    </row>
    <row r="127">
      <c r="E127" s="82"/>
    </row>
    <row r="128">
      <c r="E128" s="82"/>
    </row>
    <row r="129">
      <c r="E129" s="82"/>
    </row>
    <row r="130">
      <c r="E130" s="82"/>
    </row>
    <row r="131">
      <c r="E131" s="82"/>
    </row>
    <row r="132">
      <c r="E132" s="82"/>
    </row>
    <row r="133">
      <c r="E133" s="82"/>
    </row>
    <row r="134">
      <c r="E134" s="82"/>
    </row>
    <row r="135">
      <c r="E135" s="82"/>
    </row>
    <row r="136">
      <c r="E136" s="82"/>
    </row>
    <row r="137">
      <c r="E137" s="82"/>
    </row>
    <row r="138">
      <c r="E138" s="82"/>
    </row>
    <row r="139">
      <c r="E139" s="82"/>
    </row>
    <row r="140">
      <c r="E140" s="82"/>
    </row>
    <row r="141">
      <c r="E141" s="82"/>
    </row>
    <row r="142">
      <c r="E142" s="82"/>
    </row>
    <row r="143">
      <c r="E143" s="82"/>
    </row>
    <row r="144">
      <c r="E144" s="82"/>
    </row>
    <row r="145">
      <c r="E145" s="82"/>
    </row>
    <row r="146">
      <c r="E146" s="82"/>
    </row>
    <row r="147">
      <c r="E147" s="82"/>
    </row>
    <row r="148">
      <c r="E148" s="82"/>
    </row>
    <row r="149">
      <c r="E149" s="82"/>
    </row>
    <row r="150">
      <c r="E150" s="82"/>
    </row>
    <row r="151">
      <c r="E151" s="82"/>
    </row>
    <row r="152">
      <c r="E152" s="82"/>
    </row>
    <row r="153">
      <c r="E153" s="82"/>
    </row>
    <row r="154">
      <c r="E154" s="82"/>
    </row>
    <row r="155">
      <c r="E155" s="82"/>
    </row>
    <row r="156">
      <c r="E156" s="82"/>
    </row>
    <row r="157">
      <c r="E157" s="82"/>
    </row>
    <row r="158">
      <c r="E158" s="82"/>
    </row>
    <row r="159">
      <c r="E159" s="82"/>
    </row>
    <row r="160">
      <c r="E160" s="82"/>
    </row>
    <row r="161">
      <c r="E161" s="82"/>
    </row>
    <row r="162">
      <c r="E162" s="82"/>
    </row>
    <row r="163">
      <c r="E163" s="82"/>
    </row>
    <row r="164">
      <c r="E164" s="82"/>
    </row>
    <row r="165">
      <c r="E165" s="82"/>
    </row>
    <row r="166">
      <c r="E166" s="82"/>
    </row>
    <row r="167">
      <c r="E167" s="82"/>
    </row>
    <row r="168">
      <c r="E168" s="82"/>
    </row>
    <row r="169">
      <c r="E169" s="82"/>
    </row>
    <row r="170">
      <c r="E170" s="82"/>
    </row>
    <row r="171">
      <c r="E171" s="82"/>
    </row>
    <row r="172">
      <c r="E172" s="82"/>
    </row>
    <row r="173">
      <c r="E173" s="82"/>
    </row>
    <row r="174">
      <c r="E174" s="82"/>
    </row>
    <row r="175">
      <c r="E175" s="82"/>
    </row>
    <row r="176">
      <c r="E176" s="82"/>
    </row>
    <row r="177">
      <c r="E177" s="82"/>
    </row>
    <row r="178">
      <c r="E178" s="82"/>
    </row>
    <row r="179">
      <c r="E179" s="82"/>
    </row>
    <row r="180">
      <c r="E180" s="82"/>
    </row>
    <row r="181">
      <c r="E181" s="82"/>
    </row>
    <row r="182">
      <c r="E182" s="82"/>
    </row>
    <row r="183">
      <c r="E183" s="82"/>
    </row>
    <row r="184">
      <c r="E184" s="82"/>
    </row>
    <row r="185">
      <c r="E185" s="82"/>
    </row>
    <row r="186">
      <c r="E186" s="82"/>
    </row>
    <row r="187">
      <c r="E187" s="82"/>
    </row>
    <row r="188">
      <c r="E188" s="82"/>
    </row>
    <row r="189">
      <c r="E189" s="82"/>
    </row>
    <row r="190">
      <c r="E190" s="82"/>
    </row>
    <row r="191">
      <c r="E191" s="82"/>
    </row>
    <row r="192">
      <c r="E192" s="82"/>
    </row>
    <row r="193">
      <c r="E193" s="82"/>
    </row>
    <row r="194">
      <c r="E194" s="82"/>
    </row>
    <row r="195">
      <c r="E195" s="82"/>
    </row>
    <row r="196">
      <c r="E196" s="82"/>
    </row>
    <row r="197">
      <c r="E197" s="82"/>
    </row>
    <row r="198">
      <c r="E198" s="82"/>
    </row>
    <row r="199">
      <c r="E199" s="82"/>
    </row>
    <row r="200">
      <c r="E200" s="82"/>
    </row>
    <row r="201">
      <c r="E201" s="82"/>
    </row>
    <row r="202">
      <c r="E202" s="82"/>
    </row>
    <row r="203">
      <c r="E203" s="82"/>
    </row>
    <row r="204">
      <c r="E204" s="82"/>
    </row>
    <row r="205">
      <c r="E205" s="82"/>
    </row>
    <row r="206">
      <c r="E206" s="82"/>
    </row>
    <row r="207">
      <c r="E207" s="82"/>
    </row>
    <row r="208">
      <c r="E208" s="82"/>
    </row>
    <row r="209">
      <c r="E209" s="82"/>
    </row>
    <row r="210">
      <c r="E210" s="82"/>
    </row>
    <row r="211">
      <c r="E211" s="82"/>
    </row>
    <row r="212">
      <c r="E212" s="82"/>
    </row>
    <row r="213">
      <c r="E213" s="82"/>
    </row>
    <row r="214">
      <c r="E214" s="82"/>
    </row>
    <row r="215">
      <c r="E215" s="82"/>
    </row>
    <row r="216">
      <c r="E216" s="82"/>
    </row>
    <row r="217">
      <c r="E217" s="82"/>
    </row>
    <row r="218">
      <c r="E218" s="82"/>
    </row>
    <row r="219">
      <c r="E219" s="82"/>
    </row>
    <row r="220">
      <c r="E220" s="82"/>
    </row>
    <row r="221">
      <c r="E221" s="82"/>
    </row>
    <row r="222">
      <c r="E222" s="82"/>
    </row>
    <row r="223">
      <c r="E223" s="82"/>
    </row>
    <row r="224">
      <c r="E224" s="82"/>
    </row>
    <row r="225">
      <c r="E225" s="82"/>
    </row>
    <row r="226">
      <c r="E226" s="82"/>
    </row>
    <row r="227">
      <c r="E227" s="82"/>
    </row>
    <row r="228">
      <c r="E228" s="82"/>
    </row>
    <row r="229">
      <c r="E229" s="82"/>
    </row>
    <row r="230">
      <c r="E230" s="82"/>
    </row>
    <row r="231">
      <c r="E231" s="82"/>
    </row>
    <row r="232">
      <c r="E232" s="82"/>
    </row>
    <row r="233">
      <c r="E233" s="82"/>
    </row>
    <row r="234">
      <c r="E234" s="82"/>
    </row>
    <row r="235">
      <c r="E235" s="82"/>
    </row>
    <row r="236">
      <c r="E236" s="82"/>
    </row>
    <row r="237">
      <c r="E237" s="82"/>
    </row>
    <row r="238">
      <c r="E238" s="82"/>
    </row>
    <row r="239">
      <c r="E239" s="82"/>
    </row>
    <row r="240">
      <c r="E240" s="82"/>
    </row>
    <row r="241">
      <c r="E241" s="82"/>
    </row>
    <row r="242">
      <c r="E242" s="82"/>
    </row>
    <row r="243">
      <c r="E243" s="82"/>
    </row>
    <row r="244">
      <c r="E244" s="82"/>
    </row>
    <row r="245">
      <c r="E245" s="82"/>
    </row>
    <row r="246">
      <c r="E246" s="82"/>
    </row>
    <row r="247">
      <c r="E247" s="82"/>
    </row>
    <row r="248">
      <c r="E248" s="82"/>
    </row>
    <row r="249">
      <c r="E249" s="82"/>
    </row>
    <row r="250">
      <c r="E250" s="82"/>
    </row>
    <row r="251">
      <c r="E251" s="82"/>
    </row>
    <row r="252">
      <c r="E252" s="82"/>
    </row>
    <row r="253">
      <c r="E253" s="82"/>
    </row>
    <row r="254">
      <c r="E254" s="82"/>
    </row>
    <row r="255">
      <c r="E255" s="82"/>
    </row>
    <row r="256">
      <c r="E256" s="82"/>
    </row>
    <row r="257">
      <c r="E257" s="82"/>
    </row>
    <row r="258">
      <c r="E258" s="82"/>
    </row>
    <row r="259">
      <c r="E259" s="82"/>
    </row>
    <row r="260">
      <c r="E260" s="82"/>
    </row>
    <row r="261">
      <c r="E261" s="82"/>
    </row>
    <row r="262">
      <c r="E262" s="82"/>
    </row>
    <row r="263">
      <c r="E263" s="82"/>
    </row>
    <row r="264">
      <c r="E264" s="82"/>
    </row>
    <row r="265">
      <c r="E265" s="82"/>
    </row>
    <row r="266">
      <c r="E266" s="82"/>
    </row>
    <row r="267">
      <c r="E267" s="82"/>
    </row>
    <row r="268">
      <c r="E268" s="82"/>
    </row>
    <row r="269">
      <c r="E269" s="82"/>
    </row>
    <row r="270">
      <c r="E270" s="82"/>
    </row>
    <row r="271">
      <c r="E271" s="82"/>
    </row>
    <row r="272">
      <c r="E272" s="82"/>
    </row>
    <row r="273">
      <c r="E273" s="82"/>
    </row>
    <row r="274">
      <c r="E274" s="82"/>
    </row>
    <row r="275">
      <c r="E275" s="82"/>
    </row>
    <row r="276">
      <c r="E276" s="82"/>
    </row>
    <row r="277">
      <c r="E277" s="82"/>
    </row>
    <row r="278">
      <c r="E278" s="82"/>
    </row>
    <row r="279">
      <c r="E279" s="82"/>
    </row>
    <row r="280">
      <c r="E280" s="82"/>
    </row>
    <row r="281">
      <c r="E281" s="82"/>
    </row>
    <row r="282">
      <c r="E282" s="82"/>
    </row>
    <row r="283">
      <c r="E283" s="82"/>
    </row>
    <row r="284">
      <c r="E284" s="82"/>
    </row>
    <row r="285">
      <c r="E285" s="82"/>
    </row>
    <row r="286">
      <c r="E286" s="82"/>
    </row>
    <row r="287">
      <c r="E287" s="82"/>
    </row>
    <row r="288">
      <c r="E288" s="82"/>
    </row>
    <row r="289">
      <c r="E289" s="82"/>
    </row>
    <row r="290">
      <c r="E290" s="82"/>
    </row>
    <row r="291">
      <c r="E291" s="82"/>
    </row>
    <row r="292">
      <c r="E292" s="82"/>
    </row>
    <row r="293">
      <c r="E293" s="82"/>
    </row>
    <row r="294">
      <c r="E294" s="82"/>
    </row>
    <row r="295">
      <c r="E295" s="82"/>
    </row>
    <row r="296">
      <c r="E296" s="82"/>
    </row>
    <row r="297">
      <c r="E297" s="82"/>
    </row>
    <row r="298">
      <c r="E298" s="82"/>
    </row>
    <row r="299">
      <c r="E299" s="82"/>
    </row>
    <row r="300">
      <c r="E300" s="82"/>
    </row>
    <row r="301">
      <c r="E301" s="82"/>
    </row>
    <row r="302">
      <c r="E302" s="82"/>
    </row>
    <row r="303">
      <c r="E303" s="82"/>
    </row>
    <row r="304">
      <c r="E304" s="82"/>
    </row>
    <row r="305">
      <c r="E305" s="82"/>
    </row>
    <row r="306">
      <c r="E306" s="82"/>
    </row>
    <row r="307">
      <c r="E307" s="82"/>
    </row>
    <row r="308">
      <c r="E308" s="82"/>
    </row>
    <row r="309">
      <c r="E309" s="82"/>
    </row>
    <row r="310">
      <c r="E310" s="82"/>
    </row>
    <row r="311">
      <c r="E311" s="82"/>
    </row>
    <row r="312">
      <c r="E312" s="82"/>
    </row>
    <row r="313">
      <c r="E313" s="82"/>
    </row>
    <row r="314">
      <c r="E314" s="82"/>
    </row>
    <row r="315">
      <c r="E315" s="82"/>
    </row>
    <row r="316">
      <c r="E316" s="82"/>
    </row>
    <row r="317">
      <c r="E317" s="82"/>
    </row>
    <row r="318">
      <c r="E318" s="82"/>
    </row>
    <row r="319">
      <c r="E319" s="82"/>
    </row>
    <row r="320">
      <c r="E320" s="82"/>
    </row>
    <row r="321">
      <c r="E321" s="82"/>
    </row>
    <row r="322">
      <c r="E322" s="82"/>
    </row>
    <row r="323">
      <c r="E323" s="82"/>
    </row>
    <row r="324">
      <c r="E324" s="82"/>
    </row>
    <row r="325">
      <c r="E325" s="82"/>
    </row>
    <row r="326">
      <c r="E326" s="82"/>
    </row>
    <row r="327">
      <c r="E327" s="82"/>
    </row>
    <row r="328">
      <c r="E328" s="82"/>
    </row>
    <row r="329">
      <c r="E329" s="82"/>
    </row>
    <row r="330">
      <c r="E330" s="82"/>
    </row>
    <row r="331">
      <c r="E331" s="82"/>
    </row>
    <row r="332">
      <c r="E332" s="82"/>
    </row>
    <row r="333">
      <c r="E333" s="82"/>
    </row>
    <row r="334">
      <c r="E334" s="82"/>
    </row>
    <row r="335">
      <c r="E335" s="82"/>
    </row>
    <row r="336">
      <c r="E336" s="82"/>
    </row>
    <row r="337">
      <c r="E337" s="82"/>
    </row>
    <row r="338">
      <c r="E338" s="82"/>
    </row>
    <row r="339">
      <c r="E339" s="82"/>
    </row>
    <row r="340">
      <c r="E340" s="82"/>
    </row>
    <row r="341">
      <c r="E341" s="82"/>
    </row>
    <row r="342">
      <c r="E342" s="82"/>
    </row>
    <row r="343">
      <c r="E343" s="82"/>
    </row>
    <row r="344">
      <c r="E344" s="82"/>
    </row>
    <row r="345">
      <c r="E345" s="82"/>
    </row>
    <row r="346">
      <c r="E346" s="82"/>
    </row>
    <row r="347">
      <c r="E347" s="82"/>
    </row>
    <row r="348">
      <c r="E348" s="82"/>
    </row>
    <row r="349">
      <c r="E349" s="82"/>
    </row>
    <row r="350">
      <c r="E350" s="82"/>
    </row>
    <row r="351">
      <c r="E351" s="82"/>
    </row>
    <row r="352">
      <c r="E352" s="82"/>
    </row>
    <row r="353">
      <c r="E353" s="82"/>
    </row>
    <row r="354">
      <c r="E354" s="82"/>
    </row>
    <row r="355">
      <c r="E355" s="82"/>
    </row>
    <row r="356">
      <c r="E356" s="82"/>
    </row>
    <row r="357">
      <c r="E357" s="82"/>
    </row>
    <row r="358">
      <c r="E358" s="82"/>
    </row>
    <row r="359">
      <c r="E359" s="82"/>
    </row>
    <row r="360">
      <c r="E360" s="82"/>
    </row>
    <row r="361">
      <c r="E361" s="82"/>
    </row>
    <row r="362">
      <c r="E362" s="82"/>
    </row>
    <row r="363">
      <c r="E363" s="82"/>
    </row>
    <row r="364">
      <c r="E364" s="82"/>
    </row>
    <row r="365">
      <c r="E365" s="82"/>
    </row>
    <row r="366">
      <c r="E366" s="82"/>
    </row>
    <row r="367">
      <c r="E367" s="82"/>
    </row>
    <row r="368">
      <c r="E368" s="82"/>
    </row>
    <row r="369">
      <c r="E369" s="82"/>
    </row>
    <row r="370">
      <c r="E370" s="82"/>
    </row>
    <row r="371">
      <c r="E371" s="82"/>
    </row>
    <row r="372">
      <c r="E372" s="82"/>
    </row>
    <row r="373">
      <c r="E373" s="82"/>
    </row>
    <row r="374">
      <c r="E374" s="82"/>
    </row>
    <row r="375">
      <c r="E375" s="82"/>
    </row>
    <row r="376">
      <c r="E376" s="82"/>
    </row>
    <row r="377">
      <c r="E377" s="82"/>
    </row>
    <row r="378">
      <c r="E378" s="82"/>
    </row>
    <row r="379">
      <c r="E379" s="82"/>
    </row>
    <row r="380">
      <c r="E380" s="82"/>
    </row>
    <row r="381">
      <c r="E381" s="82"/>
    </row>
    <row r="382">
      <c r="E382" s="82"/>
    </row>
    <row r="383">
      <c r="E383" s="82"/>
    </row>
    <row r="384">
      <c r="E384" s="82"/>
    </row>
    <row r="385">
      <c r="E385" s="82"/>
    </row>
    <row r="386">
      <c r="E386" s="82"/>
    </row>
    <row r="387">
      <c r="E387" s="82"/>
    </row>
    <row r="388">
      <c r="E388" s="82"/>
    </row>
    <row r="389">
      <c r="E389" s="82"/>
    </row>
    <row r="390">
      <c r="E390" s="82"/>
    </row>
    <row r="391">
      <c r="E391" s="82"/>
    </row>
    <row r="392">
      <c r="E392" s="82"/>
    </row>
    <row r="393">
      <c r="E393" s="82"/>
    </row>
    <row r="394">
      <c r="E394" s="82"/>
    </row>
    <row r="395">
      <c r="E395" s="82"/>
    </row>
    <row r="396">
      <c r="E396" s="82"/>
    </row>
    <row r="397">
      <c r="E397" s="82"/>
    </row>
    <row r="398">
      <c r="E398" s="82"/>
    </row>
    <row r="399">
      <c r="E399" s="82"/>
    </row>
    <row r="400">
      <c r="E400" s="82"/>
    </row>
    <row r="401">
      <c r="E401" s="82"/>
    </row>
    <row r="402">
      <c r="E402" s="82"/>
    </row>
    <row r="403">
      <c r="E403" s="82"/>
    </row>
    <row r="404">
      <c r="E404" s="82"/>
    </row>
    <row r="405">
      <c r="E405" s="82"/>
    </row>
    <row r="406">
      <c r="E406" s="82"/>
    </row>
    <row r="407">
      <c r="E407" s="82"/>
    </row>
    <row r="408">
      <c r="E408" s="82"/>
    </row>
    <row r="409">
      <c r="E409" s="82"/>
    </row>
    <row r="410">
      <c r="E410" s="82"/>
    </row>
    <row r="411">
      <c r="E411" s="82"/>
    </row>
    <row r="412">
      <c r="E412" s="82"/>
    </row>
    <row r="413">
      <c r="E413" s="82"/>
    </row>
    <row r="414">
      <c r="E414" s="82"/>
    </row>
    <row r="415">
      <c r="E415" s="82"/>
    </row>
    <row r="416">
      <c r="E416" s="82"/>
    </row>
    <row r="417">
      <c r="E417" s="82"/>
    </row>
    <row r="418">
      <c r="E418" s="82"/>
    </row>
    <row r="419">
      <c r="E419" s="82"/>
    </row>
    <row r="420">
      <c r="E420" s="82"/>
    </row>
    <row r="421">
      <c r="E421" s="82"/>
    </row>
    <row r="422">
      <c r="E422" s="82"/>
    </row>
    <row r="423">
      <c r="E423" s="82"/>
    </row>
    <row r="424">
      <c r="E424" s="82"/>
    </row>
    <row r="425">
      <c r="E425" s="82"/>
    </row>
    <row r="426">
      <c r="E426" s="82"/>
    </row>
    <row r="427">
      <c r="E427" s="82"/>
    </row>
    <row r="428">
      <c r="E428" s="82"/>
    </row>
    <row r="429">
      <c r="E429" s="82"/>
    </row>
    <row r="430">
      <c r="E430" s="82"/>
    </row>
    <row r="431">
      <c r="E431" s="82"/>
    </row>
    <row r="432">
      <c r="E432" s="82"/>
    </row>
    <row r="433">
      <c r="E433" s="82"/>
    </row>
    <row r="434">
      <c r="E434" s="82"/>
    </row>
    <row r="435">
      <c r="E435" s="82"/>
    </row>
    <row r="436">
      <c r="E436" s="82"/>
    </row>
    <row r="437">
      <c r="E437" s="82"/>
    </row>
    <row r="438">
      <c r="E438" s="82"/>
    </row>
    <row r="439">
      <c r="E439" s="82"/>
    </row>
    <row r="440">
      <c r="E440" s="82"/>
    </row>
    <row r="441">
      <c r="E441" s="82"/>
    </row>
    <row r="442">
      <c r="E442" s="82"/>
    </row>
    <row r="443">
      <c r="E443" s="82"/>
    </row>
    <row r="444">
      <c r="E444" s="82"/>
    </row>
    <row r="445">
      <c r="E445" s="82"/>
    </row>
    <row r="446">
      <c r="E446" s="82"/>
    </row>
    <row r="447">
      <c r="E447" s="82"/>
    </row>
    <row r="448">
      <c r="E448" s="82"/>
    </row>
    <row r="449">
      <c r="E449" s="82"/>
    </row>
    <row r="450">
      <c r="E450" s="82"/>
    </row>
    <row r="451">
      <c r="E451" s="82"/>
    </row>
    <row r="452">
      <c r="E452" s="82"/>
    </row>
    <row r="453">
      <c r="E453" s="82"/>
    </row>
    <row r="454">
      <c r="E454" s="82"/>
    </row>
    <row r="455">
      <c r="E455" s="82"/>
    </row>
    <row r="456">
      <c r="E456" s="82"/>
    </row>
    <row r="457">
      <c r="E457" s="82"/>
    </row>
    <row r="458">
      <c r="E458" s="82"/>
    </row>
    <row r="459">
      <c r="E459" s="82"/>
    </row>
    <row r="460">
      <c r="E460" s="82"/>
    </row>
    <row r="461">
      <c r="E461" s="82"/>
    </row>
    <row r="462">
      <c r="E462" s="82"/>
    </row>
    <row r="463">
      <c r="E463" s="82"/>
    </row>
    <row r="464">
      <c r="E464" s="82"/>
    </row>
    <row r="465">
      <c r="E465" s="82"/>
    </row>
    <row r="466">
      <c r="E466" s="82"/>
    </row>
    <row r="467">
      <c r="E467" s="82"/>
    </row>
    <row r="468">
      <c r="E468" s="82"/>
    </row>
    <row r="469">
      <c r="E469" s="82"/>
    </row>
    <row r="470">
      <c r="E470" s="82"/>
    </row>
    <row r="471">
      <c r="E471" s="82"/>
    </row>
    <row r="472">
      <c r="E472" s="82"/>
    </row>
    <row r="473">
      <c r="E473" s="82"/>
    </row>
    <row r="474">
      <c r="E474" s="82"/>
    </row>
    <row r="475">
      <c r="E475" s="82"/>
    </row>
    <row r="476">
      <c r="E476" s="82"/>
    </row>
    <row r="477">
      <c r="E477" s="82"/>
    </row>
    <row r="478">
      <c r="E478" s="82"/>
    </row>
    <row r="479">
      <c r="E479" s="82"/>
    </row>
    <row r="480">
      <c r="E480" s="82"/>
    </row>
    <row r="481">
      <c r="E481" s="82"/>
    </row>
    <row r="482">
      <c r="E482" s="82"/>
    </row>
    <row r="483">
      <c r="E483" s="82"/>
    </row>
    <row r="484">
      <c r="E484" s="82"/>
    </row>
    <row r="485">
      <c r="E485" s="82"/>
    </row>
    <row r="486">
      <c r="E486" s="82"/>
    </row>
    <row r="487">
      <c r="E487" s="82"/>
    </row>
    <row r="488">
      <c r="E488" s="82"/>
    </row>
    <row r="489">
      <c r="E489" s="82"/>
    </row>
    <row r="490">
      <c r="E490" s="82"/>
    </row>
    <row r="491">
      <c r="E491" s="82"/>
    </row>
    <row r="492">
      <c r="E492" s="82"/>
    </row>
    <row r="493">
      <c r="E493" s="82"/>
    </row>
    <row r="494">
      <c r="E494" s="82"/>
    </row>
    <row r="495">
      <c r="E495" s="82"/>
    </row>
    <row r="496">
      <c r="E496" s="82"/>
    </row>
    <row r="497">
      <c r="E497" s="82"/>
    </row>
    <row r="498">
      <c r="E498" s="82"/>
    </row>
    <row r="499">
      <c r="E499" s="82"/>
    </row>
    <row r="500">
      <c r="E500" s="82"/>
    </row>
    <row r="501">
      <c r="E501" s="82"/>
    </row>
    <row r="502">
      <c r="E502" s="82"/>
    </row>
    <row r="503">
      <c r="E503" s="82"/>
    </row>
    <row r="504">
      <c r="E504" s="82"/>
    </row>
    <row r="505">
      <c r="E505" s="82"/>
    </row>
    <row r="506">
      <c r="E506" s="82"/>
    </row>
    <row r="507">
      <c r="E507" s="82"/>
    </row>
    <row r="508">
      <c r="E508" s="82"/>
    </row>
    <row r="509">
      <c r="E509" s="82"/>
    </row>
    <row r="510">
      <c r="E510" s="82"/>
    </row>
    <row r="511">
      <c r="E511" s="82"/>
    </row>
    <row r="512">
      <c r="E512" s="82"/>
    </row>
    <row r="513">
      <c r="E513" s="82"/>
    </row>
    <row r="514">
      <c r="E514" s="82"/>
    </row>
    <row r="515">
      <c r="E515" s="82"/>
    </row>
    <row r="516">
      <c r="E516" s="82"/>
    </row>
    <row r="517">
      <c r="E517" s="82"/>
    </row>
    <row r="518">
      <c r="E518" s="82"/>
    </row>
    <row r="519">
      <c r="E519" s="82"/>
    </row>
    <row r="520">
      <c r="E520" s="82"/>
    </row>
    <row r="521">
      <c r="E521" s="82"/>
    </row>
    <row r="522">
      <c r="E522" s="82"/>
    </row>
    <row r="523">
      <c r="E523" s="82"/>
    </row>
    <row r="524">
      <c r="E524" s="82"/>
    </row>
    <row r="525">
      <c r="E525" s="82"/>
    </row>
    <row r="526">
      <c r="E526" s="82"/>
    </row>
    <row r="527">
      <c r="E527" s="82"/>
    </row>
    <row r="528">
      <c r="E528" s="82"/>
    </row>
    <row r="529">
      <c r="E529" s="82"/>
    </row>
    <row r="530">
      <c r="E530" s="82"/>
    </row>
    <row r="531">
      <c r="E531" s="82"/>
    </row>
    <row r="532">
      <c r="E532" s="82"/>
    </row>
    <row r="533">
      <c r="E533" s="82"/>
    </row>
    <row r="534">
      <c r="E534" s="82"/>
    </row>
    <row r="535">
      <c r="E535" s="82"/>
    </row>
    <row r="536">
      <c r="E536" s="82"/>
    </row>
    <row r="537">
      <c r="E537" s="82"/>
    </row>
    <row r="538">
      <c r="E538" s="82"/>
    </row>
    <row r="539">
      <c r="E539" s="82"/>
    </row>
    <row r="540">
      <c r="E540" s="82"/>
    </row>
    <row r="541">
      <c r="E541" s="82"/>
    </row>
    <row r="542">
      <c r="E542" s="82"/>
    </row>
    <row r="543">
      <c r="E543" s="82"/>
    </row>
    <row r="544">
      <c r="E544" s="82"/>
    </row>
    <row r="545">
      <c r="E545" s="82"/>
    </row>
    <row r="546">
      <c r="E546" s="82"/>
    </row>
    <row r="547">
      <c r="E547" s="82"/>
    </row>
    <row r="548">
      <c r="E548" s="82"/>
    </row>
    <row r="549">
      <c r="E549" s="82"/>
    </row>
    <row r="550">
      <c r="E550" s="82"/>
    </row>
    <row r="551">
      <c r="E551" s="82"/>
    </row>
    <row r="552">
      <c r="E552" s="82"/>
    </row>
    <row r="553">
      <c r="E553" s="82"/>
    </row>
    <row r="554">
      <c r="E554" s="82"/>
    </row>
    <row r="555">
      <c r="E555" s="82"/>
    </row>
    <row r="556">
      <c r="E556" s="82"/>
    </row>
    <row r="557">
      <c r="E557" s="82"/>
    </row>
    <row r="558">
      <c r="E558" s="82"/>
    </row>
    <row r="559">
      <c r="E559" s="82"/>
    </row>
    <row r="560">
      <c r="E560" s="82"/>
    </row>
    <row r="561">
      <c r="E561" s="82"/>
    </row>
    <row r="562">
      <c r="E562" s="82"/>
    </row>
    <row r="563">
      <c r="E563" s="82"/>
    </row>
    <row r="564">
      <c r="E564" s="82"/>
    </row>
    <row r="565">
      <c r="E565" s="82"/>
    </row>
    <row r="566">
      <c r="E566" s="82"/>
    </row>
    <row r="567">
      <c r="E567" s="82"/>
    </row>
    <row r="568">
      <c r="E568" s="82"/>
    </row>
    <row r="569">
      <c r="E569" s="82"/>
    </row>
    <row r="570">
      <c r="E570" s="82"/>
    </row>
    <row r="571">
      <c r="E571" s="82"/>
    </row>
    <row r="572">
      <c r="E572" s="82"/>
    </row>
    <row r="573">
      <c r="E573" s="82"/>
    </row>
    <row r="574">
      <c r="E574" s="82"/>
    </row>
    <row r="575">
      <c r="E575" s="82"/>
    </row>
    <row r="576">
      <c r="E576" s="82"/>
    </row>
    <row r="577">
      <c r="E577" s="82"/>
    </row>
    <row r="578">
      <c r="E578" s="82"/>
    </row>
    <row r="579">
      <c r="E579" s="82"/>
    </row>
    <row r="580">
      <c r="E580" s="82"/>
    </row>
    <row r="581">
      <c r="E581" s="82"/>
    </row>
    <row r="582">
      <c r="E582" s="82"/>
    </row>
    <row r="583">
      <c r="E583" s="82"/>
    </row>
    <row r="584">
      <c r="E584" s="82"/>
    </row>
    <row r="585">
      <c r="E585" s="82"/>
    </row>
    <row r="586">
      <c r="E586" s="82"/>
    </row>
    <row r="587">
      <c r="E587" s="82"/>
    </row>
    <row r="588">
      <c r="E588" s="82"/>
    </row>
    <row r="589">
      <c r="E589" s="82"/>
    </row>
    <row r="590">
      <c r="E590" s="82"/>
    </row>
    <row r="591">
      <c r="E591" s="82"/>
    </row>
    <row r="592">
      <c r="E592" s="82"/>
    </row>
    <row r="593">
      <c r="E593" s="82"/>
    </row>
    <row r="594">
      <c r="E594" s="82"/>
    </row>
    <row r="595">
      <c r="E595" s="82"/>
    </row>
    <row r="596">
      <c r="E596" s="82"/>
    </row>
    <row r="597">
      <c r="E597" s="82"/>
    </row>
    <row r="598">
      <c r="E598" s="82"/>
    </row>
    <row r="599">
      <c r="E599" s="82"/>
    </row>
    <row r="600">
      <c r="E600" s="82"/>
    </row>
    <row r="601">
      <c r="E601" s="82"/>
    </row>
    <row r="602">
      <c r="E602" s="82"/>
    </row>
    <row r="603">
      <c r="E603" s="82"/>
    </row>
    <row r="604">
      <c r="E604" s="82"/>
    </row>
    <row r="605">
      <c r="E605" s="82"/>
    </row>
    <row r="606">
      <c r="E606" s="82"/>
    </row>
    <row r="607">
      <c r="E607" s="82"/>
    </row>
    <row r="608">
      <c r="E608" s="82"/>
    </row>
    <row r="609">
      <c r="E609" s="82"/>
    </row>
    <row r="610">
      <c r="E610" s="82"/>
    </row>
    <row r="611">
      <c r="E611" s="82"/>
    </row>
    <row r="612">
      <c r="E612" s="82"/>
    </row>
    <row r="613">
      <c r="E613" s="82"/>
    </row>
    <row r="614">
      <c r="E614" s="82"/>
    </row>
    <row r="615">
      <c r="E615" s="82"/>
    </row>
    <row r="616">
      <c r="E616" s="82"/>
    </row>
    <row r="617">
      <c r="E617" s="82"/>
    </row>
    <row r="618">
      <c r="E618" s="82"/>
    </row>
    <row r="619">
      <c r="E619" s="82"/>
    </row>
    <row r="620">
      <c r="E620" s="82"/>
    </row>
    <row r="621">
      <c r="E621" s="82"/>
    </row>
    <row r="622">
      <c r="E622" s="82"/>
    </row>
    <row r="623">
      <c r="E623" s="82"/>
    </row>
    <row r="624">
      <c r="E624" s="82"/>
    </row>
    <row r="625">
      <c r="E625" s="82"/>
    </row>
    <row r="626">
      <c r="E626" s="82"/>
    </row>
    <row r="627">
      <c r="E627" s="82"/>
    </row>
    <row r="628">
      <c r="E628" s="82"/>
    </row>
    <row r="629">
      <c r="E629" s="82"/>
    </row>
    <row r="630">
      <c r="E630" s="82"/>
    </row>
    <row r="631">
      <c r="E631" s="82"/>
    </row>
    <row r="632">
      <c r="E632" s="82"/>
    </row>
    <row r="633">
      <c r="E633" s="82"/>
    </row>
    <row r="634">
      <c r="E634" s="82"/>
    </row>
    <row r="635">
      <c r="E635" s="82"/>
    </row>
    <row r="636">
      <c r="E636" s="82"/>
    </row>
    <row r="637">
      <c r="E637" s="82"/>
    </row>
    <row r="638">
      <c r="E638" s="82"/>
    </row>
    <row r="639">
      <c r="E639" s="82"/>
    </row>
    <row r="640">
      <c r="E640" s="82"/>
    </row>
    <row r="641">
      <c r="E641" s="82"/>
    </row>
    <row r="642">
      <c r="E642" s="82"/>
    </row>
    <row r="643">
      <c r="E643" s="82"/>
    </row>
    <row r="644">
      <c r="E644" s="82"/>
    </row>
    <row r="645">
      <c r="E645" s="82"/>
    </row>
    <row r="646">
      <c r="E646" s="82"/>
    </row>
    <row r="647">
      <c r="E647" s="82"/>
    </row>
    <row r="648">
      <c r="E648" s="82"/>
    </row>
    <row r="649">
      <c r="E649" s="82"/>
    </row>
    <row r="650">
      <c r="E650" s="82"/>
    </row>
    <row r="651">
      <c r="E651" s="82"/>
    </row>
    <row r="652">
      <c r="E652" s="82"/>
    </row>
    <row r="653">
      <c r="E653" s="82"/>
    </row>
    <row r="654">
      <c r="E654" s="82"/>
    </row>
    <row r="655">
      <c r="E655" s="82"/>
    </row>
    <row r="656">
      <c r="E656" s="82"/>
    </row>
    <row r="657">
      <c r="E657" s="82"/>
    </row>
    <row r="658">
      <c r="E658" s="82"/>
    </row>
    <row r="659">
      <c r="E659" s="82"/>
    </row>
    <row r="660">
      <c r="E660" s="82"/>
    </row>
    <row r="661">
      <c r="E661" s="82"/>
    </row>
    <row r="662">
      <c r="E662" s="82"/>
    </row>
    <row r="663">
      <c r="E663" s="82"/>
    </row>
    <row r="664">
      <c r="E664" s="82"/>
    </row>
    <row r="665">
      <c r="E665" s="82"/>
    </row>
    <row r="666">
      <c r="E666" s="82"/>
    </row>
    <row r="667">
      <c r="E667" s="82"/>
    </row>
    <row r="668">
      <c r="E668" s="82"/>
    </row>
    <row r="669">
      <c r="E669" s="82"/>
    </row>
    <row r="670">
      <c r="E670" s="82"/>
    </row>
    <row r="671">
      <c r="E671" s="82"/>
    </row>
    <row r="672">
      <c r="E672" s="82"/>
    </row>
    <row r="673">
      <c r="E673" s="82"/>
    </row>
    <row r="674">
      <c r="E674" s="82"/>
    </row>
    <row r="675">
      <c r="E675" s="82"/>
    </row>
    <row r="676">
      <c r="E676" s="82"/>
    </row>
    <row r="677">
      <c r="E677" s="82"/>
    </row>
    <row r="678">
      <c r="E678" s="82"/>
    </row>
    <row r="679">
      <c r="E679" s="82"/>
    </row>
    <row r="680">
      <c r="E680" s="82"/>
    </row>
    <row r="681">
      <c r="E681" s="82"/>
    </row>
    <row r="682">
      <c r="E682" s="82"/>
    </row>
    <row r="683">
      <c r="E683" s="82"/>
    </row>
    <row r="684">
      <c r="E684" s="82"/>
    </row>
    <row r="685">
      <c r="E685" s="82"/>
    </row>
    <row r="686">
      <c r="E686" s="82"/>
    </row>
    <row r="687">
      <c r="E687" s="82"/>
    </row>
    <row r="688">
      <c r="E688" s="82"/>
    </row>
    <row r="689">
      <c r="E689" s="82"/>
    </row>
    <row r="690">
      <c r="E690" s="82"/>
    </row>
    <row r="691">
      <c r="E691" s="82"/>
    </row>
    <row r="692">
      <c r="E692" s="82"/>
    </row>
    <row r="693">
      <c r="E693" s="82"/>
    </row>
    <row r="694">
      <c r="E694" s="82"/>
    </row>
    <row r="695">
      <c r="E695" s="82"/>
    </row>
    <row r="696">
      <c r="E696" s="82"/>
    </row>
    <row r="697">
      <c r="E697" s="82"/>
    </row>
    <row r="698">
      <c r="E698" s="82"/>
    </row>
    <row r="699">
      <c r="E699" s="82"/>
    </row>
    <row r="700">
      <c r="E700" s="82"/>
    </row>
    <row r="701">
      <c r="E701" s="82"/>
    </row>
    <row r="702">
      <c r="E702" s="82"/>
    </row>
    <row r="703">
      <c r="E703" s="82"/>
    </row>
    <row r="704">
      <c r="E704" s="82"/>
    </row>
    <row r="705">
      <c r="E705" s="82"/>
    </row>
    <row r="706">
      <c r="E706" s="82"/>
    </row>
    <row r="707">
      <c r="E707" s="82"/>
    </row>
    <row r="708">
      <c r="E708" s="82"/>
    </row>
    <row r="709">
      <c r="E709" s="82"/>
    </row>
    <row r="710">
      <c r="E710" s="82"/>
    </row>
    <row r="711">
      <c r="E711" s="82"/>
    </row>
    <row r="712">
      <c r="E712" s="82"/>
    </row>
    <row r="713">
      <c r="E713" s="82"/>
    </row>
    <row r="714">
      <c r="E714" s="82"/>
    </row>
    <row r="715">
      <c r="E715" s="82"/>
    </row>
    <row r="716">
      <c r="E716" s="82"/>
    </row>
    <row r="717">
      <c r="E717" s="82"/>
    </row>
    <row r="718">
      <c r="E718" s="82"/>
    </row>
    <row r="719">
      <c r="E719" s="82"/>
    </row>
    <row r="720">
      <c r="E720" s="82"/>
    </row>
    <row r="721">
      <c r="E721" s="82"/>
    </row>
    <row r="722">
      <c r="E722" s="82"/>
    </row>
    <row r="723">
      <c r="E723" s="82"/>
    </row>
    <row r="724">
      <c r="E724" s="82"/>
    </row>
    <row r="725">
      <c r="E725" s="82"/>
    </row>
    <row r="726">
      <c r="E726" s="82"/>
    </row>
    <row r="727">
      <c r="E727" s="82"/>
    </row>
    <row r="728">
      <c r="E728" s="82"/>
    </row>
    <row r="729">
      <c r="E729" s="82"/>
    </row>
    <row r="730">
      <c r="E730" s="82"/>
    </row>
    <row r="731">
      <c r="E731" s="82"/>
    </row>
    <row r="732">
      <c r="E732" s="82"/>
    </row>
    <row r="733">
      <c r="E733" s="82"/>
    </row>
    <row r="734">
      <c r="E734" s="82"/>
    </row>
    <row r="735">
      <c r="E735" s="82"/>
    </row>
    <row r="736">
      <c r="E736" s="82"/>
    </row>
    <row r="737">
      <c r="E737" s="82"/>
    </row>
    <row r="738">
      <c r="E738" s="82"/>
    </row>
    <row r="739">
      <c r="E739" s="82"/>
    </row>
    <row r="740">
      <c r="E740" s="82"/>
    </row>
    <row r="741">
      <c r="E741" s="82"/>
    </row>
    <row r="742">
      <c r="E742" s="82"/>
    </row>
    <row r="743">
      <c r="E743" s="82"/>
    </row>
    <row r="744">
      <c r="E744" s="82"/>
    </row>
    <row r="745">
      <c r="E745" s="82"/>
    </row>
    <row r="746">
      <c r="E746" s="82"/>
    </row>
    <row r="747">
      <c r="E747" s="82"/>
    </row>
    <row r="748">
      <c r="E748" s="82"/>
    </row>
    <row r="749">
      <c r="E749" s="82"/>
    </row>
    <row r="750">
      <c r="E750" s="82"/>
    </row>
    <row r="751">
      <c r="E751" s="82"/>
    </row>
    <row r="752">
      <c r="E752" s="82"/>
    </row>
    <row r="753">
      <c r="E753" s="82"/>
    </row>
    <row r="754">
      <c r="E754" s="82"/>
    </row>
    <row r="755">
      <c r="E755" s="82"/>
    </row>
    <row r="756">
      <c r="E756" s="82"/>
    </row>
    <row r="757">
      <c r="E757" s="82"/>
    </row>
    <row r="758">
      <c r="E758" s="82"/>
    </row>
    <row r="759">
      <c r="E759" s="82"/>
    </row>
    <row r="760">
      <c r="E760" s="82"/>
    </row>
    <row r="761">
      <c r="E761" s="82"/>
    </row>
    <row r="762">
      <c r="E762" s="82"/>
    </row>
    <row r="763">
      <c r="E763" s="82"/>
    </row>
    <row r="764">
      <c r="E764" s="82"/>
    </row>
    <row r="765">
      <c r="E765" s="82"/>
    </row>
    <row r="766">
      <c r="E766" s="82"/>
    </row>
    <row r="767">
      <c r="E767" s="82"/>
    </row>
    <row r="768">
      <c r="E768" s="82"/>
    </row>
    <row r="769">
      <c r="E769" s="82"/>
    </row>
    <row r="770">
      <c r="E770" s="82"/>
    </row>
    <row r="771">
      <c r="E771" s="82"/>
    </row>
    <row r="772">
      <c r="E772" s="82"/>
    </row>
    <row r="773">
      <c r="E773" s="82"/>
    </row>
    <row r="774">
      <c r="E774" s="82"/>
    </row>
    <row r="775">
      <c r="E775" s="82"/>
    </row>
    <row r="776">
      <c r="E776" s="82"/>
    </row>
    <row r="777">
      <c r="E777" s="82"/>
    </row>
    <row r="778">
      <c r="E778" s="82"/>
    </row>
    <row r="779">
      <c r="E779" s="82"/>
    </row>
    <row r="780">
      <c r="E780" s="82"/>
    </row>
    <row r="781">
      <c r="E781" s="82"/>
    </row>
    <row r="782">
      <c r="E782" s="82"/>
    </row>
    <row r="783">
      <c r="E783" s="82"/>
    </row>
    <row r="784">
      <c r="E784" s="82"/>
    </row>
    <row r="785">
      <c r="E785" s="82"/>
    </row>
    <row r="786">
      <c r="E786" s="82"/>
    </row>
    <row r="787">
      <c r="E787" s="82"/>
    </row>
    <row r="788">
      <c r="E788" s="82"/>
    </row>
    <row r="789">
      <c r="E789" s="82"/>
    </row>
    <row r="790">
      <c r="E790" s="82"/>
    </row>
    <row r="791">
      <c r="E791" s="82"/>
    </row>
    <row r="792">
      <c r="E792" s="82"/>
    </row>
    <row r="793">
      <c r="E793" s="82"/>
    </row>
    <row r="794">
      <c r="E794" s="82"/>
    </row>
    <row r="795">
      <c r="E795" s="82"/>
    </row>
    <row r="796">
      <c r="E796" s="82"/>
    </row>
    <row r="797">
      <c r="E797" s="82"/>
    </row>
    <row r="798">
      <c r="E798" s="82"/>
    </row>
    <row r="799">
      <c r="E799" s="82"/>
    </row>
    <row r="800">
      <c r="E800" s="82"/>
    </row>
    <row r="801">
      <c r="E801" s="82"/>
    </row>
    <row r="802">
      <c r="E802" s="82"/>
    </row>
    <row r="803">
      <c r="E803" s="82"/>
    </row>
    <row r="804">
      <c r="E804" s="82"/>
    </row>
    <row r="805">
      <c r="E805" s="82"/>
    </row>
    <row r="806">
      <c r="E806" s="82"/>
    </row>
    <row r="807">
      <c r="E807" s="82"/>
    </row>
    <row r="808">
      <c r="E808" s="82"/>
    </row>
    <row r="809">
      <c r="E809" s="82"/>
    </row>
    <row r="810">
      <c r="E810" s="82"/>
    </row>
    <row r="811">
      <c r="E811" s="82"/>
    </row>
    <row r="812">
      <c r="E812" s="82"/>
    </row>
    <row r="813">
      <c r="E813" s="82"/>
    </row>
    <row r="814">
      <c r="E814" s="82"/>
    </row>
    <row r="815">
      <c r="E815" s="82"/>
    </row>
    <row r="816">
      <c r="E816" s="82"/>
    </row>
    <row r="817">
      <c r="E817" s="82"/>
    </row>
    <row r="818">
      <c r="E818" s="82"/>
    </row>
    <row r="819">
      <c r="E819" s="82"/>
    </row>
    <row r="820">
      <c r="E820" s="82"/>
    </row>
    <row r="821">
      <c r="E821" s="82"/>
    </row>
    <row r="822">
      <c r="E822" s="82"/>
    </row>
    <row r="823">
      <c r="E823" s="82"/>
    </row>
    <row r="824">
      <c r="E824" s="82"/>
    </row>
    <row r="825">
      <c r="E825" s="82"/>
    </row>
    <row r="826">
      <c r="E826" s="82"/>
    </row>
    <row r="827">
      <c r="E827" s="82"/>
    </row>
    <row r="828">
      <c r="E828" s="82"/>
    </row>
    <row r="829">
      <c r="E829" s="82"/>
    </row>
    <row r="830">
      <c r="E830" s="82"/>
    </row>
    <row r="831">
      <c r="E831" s="82"/>
    </row>
    <row r="832">
      <c r="E832" s="82"/>
    </row>
    <row r="833">
      <c r="E833" s="82"/>
    </row>
    <row r="834">
      <c r="E834" s="82"/>
    </row>
    <row r="835">
      <c r="E835" s="82"/>
    </row>
    <row r="836">
      <c r="E836" s="82"/>
    </row>
    <row r="837">
      <c r="E837" s="82"/>
    </row>
    <row r="838">
      <c r="E838" s="82"/>
    </row>
    <row r="839">
      <c r="E839" s="82"/>
    </row>
    <row r="840">
      <c r="E840" s="82"/>
    </row>
    <row r="841">
      <c r="E841" s="82"/>
    </row>
    <row r="842">
      <c r="E842" s="82"/>
    </row>
    <row r="843">
      <c r="E843" s="82"/>
    </row>
    <row r="844">
      <c r="E844" s="82"/>
    </row>
    <row r="845">
      <c r="E845" s="82"/>
    </row>
    <row r="846">
      <c r="E846" s="82"/>
    </row>
    <row r="847">
      <c r="E847" s="82"/>
    </row>
    <row r="848">
      <c r="E848" s="82"/>
    </row>
    <row r="849">
      <c r="E849" s="82"/>
    </row>
    <row r="850">
      <c r="E850" s="82"/>
    </row>
    <row r="851">
      <c r="E851" s="82"/>
    </row>
    <row r="852">
      <c r="E852" s="82"/>
    </row>
    <row r="853">
      <c r="E853" s="82"/>
    </row>
    <row r="854">
      <c r="E854" s="82"/>
    </row>
    <row r="855">
      <c r="E855" s="82"/>
    </row>
    <row r="856">
      <c r="E856" s="82"/>
    </row>
    <row r="857">
      <c r="E857" s="82"/>
    </row>
    <row r="858">
      <c r="E858" s="82"/>
    </row>
    <row r="859">
      <c r="E859" s="82"/>
    </row>
    <row r="860">
      <c r="E860" s="82"/>
    </row>
    <row r="861">
      <c r="E861" s="82"/>
    </row>
    <row r="862">
      <c r="E862" s="82"/>
    </row>
    <row r="863">
      <c r="E863" s="82"/>
    </row>
    <row r="864">
      <c r="E864" s="82"/>
    </row>
    <row r="865">
      <c r="E865" s="82"/>
    </row>
    <row r="866">
      <c r="E866" s="82"/>
    </row>
    <row r="867">
      <c r="E867" s="82"/>
    </row>
    <row r="868">
      <c r="E868" s="82"/>
    </row>
    <row r="869">
      <c r="E869" s="82"/>
    </row>
    <row r="870">
      <c r="E870" s="82"/>
    </row>
    <row r="871">
      <c r="E871" s="82"/>
    </row>
    <row r="872">
      <c r="E872" s="82"/>
    </row>
    <row r="873">
      <c r="E873" s="82"/>
    </row>
    <row r="874">
      <c r="E874" s="82"/>
    </row>
    <row r="875">
      <c r="E875" s="82"/>
    </row>
    <row r="876">
      <c r="E876" s="82"/>
    </row>
    <row r="877">
      <c r="E877" s="82"/>
    </row>
    <row r="878">
      <c r="E878" s="82"/>
    </row>
    <row r="879">
      <c r="E879" s="82"/>
    </row>
    <row r="880">
      <c r="E880" s="82"/>
    </row>
    <row r="881">
      <c r="E881" s="82"/>
    </row>
    <row r="882">
      <c r="E882" s="82"/>
    </row>
    <row r="883">
      <c r="E883" s="82"/>
    </row>
    <row r="884">
      <c r="E884" s="82"/>
    </row>
    <row r="885">
      <c r="E885" s="82"/>
    </row>
    <row r="886">
      <c r="E886" s="82"/>
    </row>
    <row r="887">
      <c r="E887" s="82"/>
    </row>
    <row r="888">
      <c r="E888" s="82"/>
    </row>
    <row r="889">
      <c r="E889" s="82"/>
    </row>
    <row r="890">
      <c r="E890" s="82"/>
    </row>
    <row r="891">
      <c r="E891" s="82"/>
    </row>
    <row r="892">
      <c r="E892" s="82"/>
    </row>
    <row r="893">
      <c r="E893" s="82"/>
    </row>
    <row r="894">
      <c r="E894" s="82"/>
    </row>
    <row r="895">
      <c r="E895" s="82"/>
    </row>
    <row r="896">
      <c r="E896" s="82"/>
    </row>
    <row r="897">
      <c r="E897" s="82"/>
    </row>
    <row r="898">
      <c r="E898" s="82"/>
    </row>
    <row r="899">
      <c r="E899" s="82"/>
    </row>
    <row r="900">
      <c r="E900" s="82"/>
    </row>
    <row r="901">
      <c r="E901" s="82"/>
    </row>
    <row r="902">
      <c r="E902" s="82"/>
    </row>
    <row r="903">
      <c r="E903" s="82"/>
    </row>
    <row r="904">
      <c r="E904" s="82"/>
    </row>
    <row r="905">
      <c r="E905" s="82"/>
    </row>
    <row r="906">
      <c r="E906" s="82"/>
    </row>
    <row r="907">
      <c r="E907" s="82"/>
    </row>
    <row r="908">
      <c r="E908" s="82"/>
    </row>
    <row r="909">
      <c r="E909" s="82"/>
    </row>
    <row r="910">
      <c r="E910" s="82"/>
    </row>
    <row r="911">
      <c r="E911" s="82"/>
    </row>
    <row r="912">
      <c r="E912" s="82"/>
    </row>
    <row r="913">
      <c r="E913" s="82"/>
    </row>
    <row r="914">
      <c r="E914" s="82"/>
    </row>
    <row r="915">
      <c r="E915" s="82"/>
    </row>
    <row r="916">
      <c r="E916" s="82"/>
    </row>
    <row r="917">
      <c r="E917" s="82"/>
    </row>
    <row r="918">
      <c r="E918" s="82"/>
    </row>
    <row r="919">
      <c r="E919" s="82"/>
    </row>
    <row r="920">
      <c r="E920" s="82"/>
    </row>
    <row r="921">
      <c r="E921" s="82"/>
    </row>
    <row r="922">
      <c r="E922" s="82"/>
    </row>
    <row r="923">
      <c r="E923" s="82"/>
    </row>
    <row r="924">
      <c r="E924" s="82"/>
    </row>
    <row r="925">
      <c r="E925" s="82"/>
    </row>
    <row r="926">
      <c r="E926" s="82"/>
    </row>
    <row r="927">
      <c r="E927" s="82"/>
    </row>
    <row r="928">
      <c r="E928" s="82"/>
    </row>
    <row r="929">
      <c r="E929" s="82"/>
    </row>
    <row r="930">
      <c r="E930" s="82"/>
    </row>
    <row r="931">
      <c r="E931" s="82"/>
    </row>
    <row r="932">
      <c r="E932" s="82"/>
    </row>
    <row r="933">
      <c r="E933" s="82"/>
    </row>
    <row r="934">
      <c r="E934" s="82"/>
    </row>
    <row r="935">
      <c r="E935" s="82"/>
    </row>
    <row r="936">
      <c r="E936" s="82"/>
    </row>
    <row r="937">
      <c r="E937" s="82"/>
    </row>
    <row r="938">
      <c r="E938" s="82"/>
    </row>
    <row r="939">
      <c r="E939" s="82"/>
    </row>
    <row r="940">
      <c r="E940" s="82"/>
    </row>
    <row r="941">
      <c r="E941" s="82"/>
    </row>
    <row r="942">
      <c r="E942" s="82"/>
    </row>
    <row r="943">
      <c r="E943" s="82"/>
    </row>
    <row r="944">
      <c r="E944" s="82"/>
    </row>
    <row r="945">
      <c r="E945" s="82"/>
    </row>
    <row r="946">
      <c r="E946" s="82"/>
    </row>
    <row r="947">
      <c r="E947" s="82"/>
    </row>
    <row r="948">
      <c r="E948" s="82"/>
    </row>
    <row r="949">
      <c r="E949" s="82"/>
    </row>
    <row r="950">
      <c r="E950" s="82"/>
    </row>
    <row r="951">
      <c r="E951" s="82"/>
    </row>
    <row r="952">
      <c r="E952" s="82"/>
    </row>
    <row r="953">
      <c r="E953" s="82"/>
    </row>
    <row r="954">
      <c r="E954" s="82"/>
    </row>
    <row r="955">
      <c r="E955" s="82"/>
    </row>
    <row r="956">
      <c r="E956" s="82"/>
    </row>
    <row r="957">
      <c r="E957" s="82"/>
    </row>
    <row r="958">
      <c r="E958" s="82"/>
    </row>
    <row r="959">
      <c r="E959" s="82"/>
    </row>
    <row r="960">
      <c r="E960" s="82"/>
    </row>
    <row r="961">
      <c r="E961" s="82"/>
    </row>
    <row r="962">
      <c r="E962" s="82"/>
    </row>
    <row r="963">
      <c r="E963" s="82"/>
    </row>
    <row r="964">
      <c r="E964" s="82"/>
    </row>
    <row r="965">
      <c r="E965" s="82"/>
    </row>
    <row r="966">
      <c r="E966" s="82"/>
    </row>
    <row r="967">
      <c r="E967" s="82"/>
    </row>
    <row r="968">
      <c r="E968" s="82"/>
    </row>
    <row r="969">
      <c r="E969" s="82"/>
    </row>
    <row r="970">
      <c r="E970" s="82"/>
    </row>
    <row r="971">
      <c r="E971" s="82"/>
    </row>
    <row r="972">
      <c r="E972" s="82"/>
    </row>
    <row r="973">
      <c r="E973" s="82"/>
    </row>
    <row r="974">
      <c r="E974" s="82"/>
    </row>
    <row r="975">
      <c r="E975" s="82"/>
    </row>
    <row r="976">
      <c r="E976" s="82"/>
    </row>
    <row r="977">
      <c r="E977" s="82"/>
    </row>
    <row r="978">
      <c r="E978" s="82"/>
    </row>
    <row r="979">
      <c r="E979" s="82"/>
    </row>
    <row r="980">
      <c r="E980" s="82"/>
    </row>
    <row r="981">
      <c r="E981" s="82"/>
    </row>
    <row r="982">
      <c r="E982" s="82"/>
    </row>
    <row r="983">
      <c r="E983" s="82"/>
    </row>
    <row r="984">
      <c r="E984" s="82"/>
    </row>
    <row r="985">
      <c r="E985" s="82"/>
    </row>
    <row r="986">
      <c r="E986" s="82"/>
    </row>
    <row r="987">
      <c r="E987" s="82"/>
    </row>
    <row r="988">
      <c r="E988" s="82"/>
    </row>
    <row r="989">
      <c r="E989" s="82"/>
    </row>
    <row r="990">
      <c r="E990" s="82"/>
    </row>
    <row r="991">
      <c r="E991" s="82"/>
    </row>
    <row r="992">
      <c r="E992" s="82"/>
    </row>
    <row r="993">
      <c r="E993" s="82"/>
    </row>
    <row r="994">
      <c r="E994" s="82"/>
    </row>
    <row r="995">
      <c r="E995" s="82"/>
    </row>
    <row r="996">
      <c r="E996" s="82"/>
    </row>
    <row r="997">
      <c r="E997" s="82"/>
    </row>
    <row r="998">
      <c r="E998" s="82"/>
    </row>
    <row r="999">
      <c r="E999" s="82"/>
    </row>
    <row r="1000">
      <c r="E1000" s="82"/>
    </row>
    <row r="1001">
      <c r="E1001" s="82"/>
    </row>
    <row r="1002">
      <c r="E1002" s="82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8.0"/>
    <col customWidth="1" min="5" max="5" width="18.63"/>
  </cols>
  <sheetData>
    <row r="1">
      <c r="A1" s="1" t="s">
        <v>647</v>
      </c>
      <c r="B1" s="80">
        <f>COUNTIF(A3:A1002,"*L4*")</f>
        <v>1</v>
      </c>
      <c r="C1" s="1"/>
      <c r="D1" s="81">
        <f>MAIN!C2</f>
        <v>46154</v>
      </c>
      <c r="E1" s="82"/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4" t="str">
        <f>IFERROR(__xludf.DUMMYFUNCTION("QUERY(Master!A2:B1002, ""SELECT A, B WHERE A STARTS WITH 'L4-013'"", 0)"),"L4-013-05ED0")</f>
        <v>L4-013-05ED0</v>
      </c>
      <c r="B3" s="4" t="str">
        <f>IFERROR(__xludf.DUMMYFUNCTION("""COMPUTED_VALUE"""),"Vitalez Health Center")</f>
        <v>Vitalez Health Center</v>
      </c>
      <c r="C3" s="4" t="str">
        <f t="array" ref="C3">XLOOKUP(A3,DB!C:C,DB!K:K)</f>
        <v>#N/A</v>
      </c>
      <c r="D3" s="4" t="str">
        <f t="array" ref="D3">XLOOKUP(A3,DB!C:C,DB!B:B)</f>
        <v>#N/A</v>
      </c>
      <c r="E3" s="82" t="str">
        <f t="array" ref="E3">XLOOKUP(A3,DB!C:C,DB!F:F,"" )</f>
        <v/>
      </c>
    </row>
    <row r="4">
      <c r="A4" s="4"/>
      <c r="C4" s="4" t="str">
        <f t="array" ref="C4">XLOOKUP(A4,DB!C:C,DB!K:K)</f>
        <v>#N/A</v>
      </c>
      <c r="D4" s="4" t="str">
        <f t="array" ref="D4">XLOOKUP(A4,DB!C:C,DB!B:B)</f>
        <v>#N/A</v>
      </c>
      <c r="E4" s="82" t="str">
        <f t="array" ref="E4">XLOOKUP(A4,DB!C:C,DB!F:F,"" )</f>
        <v/>
      </c>
    </row>
    <row r="5">
      <c r="A5" s="4"/>
      <c r="C5" s="4" t="str">
        <f t="array" ref="C5">XLOOKUP(A5,DB!C:C,DB!K:K)</f>
        <v>#N/A</v>
      </c>
      <c r="D5" s="4" t="str">
        <f t="array" ref="D5">XLOOKUP(A5,DB!C:C,DB!B:B)</f>
        <v>#N/A</v>
      </c>
      <c r="E5" s="82" t="str">
        <f t="array" ref="E5">XLOOKUP(A5,DB!C:C,DB!F:F,"" )</f>
        <v/>
      </c>
    </row>
    <row r="6">
      <c r="A6" s="4"/>
      <c r="C6" s="4" t="str">
        <f t="array" ref="C6">XLOOKUP(A6,DB!C:C,DB!K:K)</f>
        <v>#N/A</v>
      </c>
      <c r="D6" s="4" t="str">
        <f t="array" ref="D6">XLOOKUP(A6,DB!C:C,DB!B:B)</f>
        <v>#N/A</v>
      </c>
      <c r="E6" s="82" t="str">
        <f t="array" ref="E6">XLOOKUP(A6,DB!C:C,DB!F:F,"" )</f>
        <v/>
      </c>
    </row>
    <row r="7">
      <c r="A7" s="4"/>
      <c r="C7" s="4" t="str">
        <f t="array" ref="C7">XLOOKUP(A7,DB!C:C,DB!K:K)</f>
        <v>#N/A</v>
      </c>
      <c r="D7" s="4" t="str">
        <f t="array" ref="D7">XLOOKUP(A7,DB!C:C,DB!B:B)</f>
        <v>#N/A</v>
      </c>
      <c r="E7" s="82" t="str">
        <f t="array" ref="E7">XLOOKUP(A7,DB!C:C,DB!F:F,"" )</f>
        <v/>
      </c>
    </row>
    <row r="8">
      <c r="A8" s="4"/>
      <c r="C8" s="4" t="str">
        <f t="array" ref="C8">XLOOKUP(A8,DB!C:C,DB!K:K)</f>
        <v>#N/A</v>
      </c>
      <c r="D8" s="4" t="str">
        <f t="array" ref="D8">XLOOKUP(A8,DB!C:C,DB!B:B)</f>
        <v>#N/A</v>
      </c>
      <c r="E8" s="82" t="str">
        <f t="array" ref="E8">XLOOKUP(A8,DB!C:C,DB!F:F,"" )</f>
        <v/>
      </c>
    </row>
    <row r="9">
      <c r="A9" s="4"/>
      <c r="E9" s="82" t="str">
        <f t="array" ref="E9">XLOOKUP(A9,DB!C:C,DB!F:F,"" )</f>
        <v/>
      </c>
    </row>
    <row r="10">
      <c r="A10" s="4"/>
      <c r="E10" s="82" t="str">
        <f t="array" ref="E10">XLOOKUP(A10,DB!C:C,DB!F:F,"" )</f>
        <v/>
      </c>
    </row>
    <row r="11">
      <c r="A11" s="4"/>
      <c r="E11" s="82"/>
    </row>
    <row r="12">
      <c r="A12" s="4"/>
      <c r="E12" s="82"/>
    </row>
    <row r="13">
      <c r="A13" s="4"/>
      <c r="E13" s="82"/>
    </row>
    <row r="14">
      <c r="A14" s="4"/>
      <c r="E14" s="82"/>
    </row>
    <row r="15">
      <c r="A15" s="4"/>
      <c r="E15" s="82"/>
    </row>
    <row r="16">
      <c r="A16" s="4"/>
      <c r="E16" s="82"/>
    </row>
    <row r="17">
      <c r="A17" s="4"/>
      <c r="E17" s="82"/>
    </row>
    <row r="18">
      <c r="A18" s="4"/>
      <c r="E18" s="82"/>
    </row>
    <row r="19">
      <c r="A19" s="4"/>
      <c r="E19" s="82"/>
    </row>
    <row r="20">
      <c r="A20" s="4"/>
      <c r="E20" s="82"/>
    </row>
    <row r="21">
      <c r="A21" s="4"/>
      <c r="E21" s="82"/>
    </row>
    <row r="22">
      <c r="A22" s="4"/>
      <c r="E22" s="82"/>
    </row>
    <row r="23">
      <c r="A23" s="4"/>
      <c r="E23" s="82"/>
    </row>
    <row r="24">
      <c r="A24" s="4"/>
      <c r="E24" s="82"/>
    </row>
    <row r="25">
      <c r="A25" s="4"/>
      <c r="E25" s="82"/>
    </row>
    <row r="26">
      <c r="A26" s="4"/>
      <c r="E26" s="82"/>
    </row>
    <row r="27">
      <c r="A27" s="4"/>
      <c r="E27" s="82"/>
    </row>
    <row r="28">
      <c r="A28" s="4"/>
      <c r="E28" s="82"/>
    </row>
    <row r="29">
      <c r="A29" s="4"/>
      <c r="E29" s="82"/>
    </row>
    <row r="30">
      <c r="A30" s="4"/>
      <c r="E30" s="82"/>
    </row>
    <row r="31">
      <c r="A31" s="4"/>
      <c r="E31" s="82"/>
    </row>
    <row r="32">
      <c r="A32" s="4"/>
      <c r="E32" s="82"/>
    </row>
    <row r="33">
      <c r="A33" s="4"/>
      <c r="E33" s="82"/>
    </row>
    <row r="34">
      <c r="A34" s="4"/>
      <c r="E34" s="82"/>
    </row>
    <row r="35">
      <c r="A35" s="4"/>
      <c r="E35" s="82"/>
    </row>
    <row r="36">
      <c r="A36" s="4"/>
      <c r="E36" s="82"/>
    </row>
    <row r="37">
      <c r="A37" s="4"/>
      <c r="E37" s="82"/>
    </row>
    <row r="38">
      <c r="A38" s="4"/>
      <c r="E38" s="82"/>
    </row>
    <row r="39">
      <c r="A39" s="4"/>
      <c r="E39" s="82"/>
    </row>
    <row r="40">
      <c r="A40" s="4"/>
      <c r="E40" s="82"/>
    </row>
    <row r="41">
      <c r="A41" s="4"/>
      <c r="E41" s="82"/>
    </row>
    <row r="42">
      <c r="A42" s="4"/>
      <c r="E42" s="82"/>
    </row>
    <row r="43">
      <c r="A43" s="4"/>
      <c r="E43" s="82"/>
    </row>
    <row r="44">
      <c r="A44" s="4"/>
      <c r="E44" s="82"/>
    </row>
    <row r="45">
      <c r="A45" s="4"/>
      <c r="E45" s="82"/>
    </row>
    <row r="46">
      <c r="A46" s="4"/>
      <c r="E46" s="82"/>
    </row>
    <row r="47">
      <c r="A47" s="4"/>
      <c r="E47" s="82"/>
    </row>
    <row r="48">
      <c r="A48" s="4"/>
      <c r="E48" s="82"/>
    </row>
    <row r="49">
      <c r="A49" s="4"/>
      <c r="E49" s="82"/>
    </row>
    <row r="50">
      <c r="A50" s="4"/>
      <c r="E50" s="82"/>
    </row>
    <row r="51">
      <c r="A51" s="4"/>
      <c r="E51" s="82"/>
    </row>
    <row r="52">
      <c r="A52" s="4"/>
      <c r="E52" s="82"/>
    </row>
    <row r="53">
      <c r="A53" s="4"/>
      <c r="E53" s="82"/>
    </row>
    <row r="54">
      <c r="A54" s="4"/>
      <c r="E54" s="82"/>
    </row>
    <row r="55">
      <c r="A55" s="4"/>
      <c r="E55" s="82"/>
    </row>
    <row r="56">
      <c r="A56" s="4"/>
      <c r="E56" s="82"/>
    </row>
    <row r="57">
      <c r="A57" s="4"/>
      <c r="E57" s="82"/>
    </row>
    <row r="58">
      <c r="A58" s="4"/>
      <c r="E58" s="82"/>
    </row>
    <row r="59">
      <c r="A59" s="4"/>
      <c r="E59" s="82"/>
    </row>
    <row r="60">
      <c r="A60" s="4"/>
      <c r="E60" s="82"/>
    </row>
    <row r="61">
      <c r="A61" s="4"/>
      <c r="E61" s="82"/>
    </row>
    <row r="62">
      <c r="A62" s="4"/>
      <c r="E62" s="82"/>
    </row>
    <row r="63">
      <c r="A63" s="4"/>
      <c r="E63" s="82"/>
    </row>
    <row r="64">
      <c r="A64" s="4"/>
      <c r="E64" s="82"/>
    </row>
    <row r="65">
      <c r="A65" s="4"/>
      <c r="E65" s="82"/>
    </row>
    <row r="66">
      <c r="A66" s="4"/>
      <c r="E66" s="82"/>
    </row>
    <row r="67">
      <c r="A67" s="4"/>
      <c r="E67" s="82"/>
    </row>
    <row r="68">
      <c r="A68" s="4"/>
      <c r="E68" s="82"/>
    </row>
    <row r="69">
      <c r="A69" s="4"/>
      <c r="E69" s="82"/>
    </row>
    <row r="70">
      <c r="A70" s="4"/>
      <c r="E70" s="82"/>
    </row>
    <row r="71">
      <c r="A71" s="4"/>
      <c r="E71" s="82"/>
    </row>
    <row r="72">
      <c r="A72" s="4"/>
      <c r="E72" s="82"/>
    </row>
    <row r="73">
      <c r="A73" s="4"/>
      <c r="E73" s="82"/>
    </row>
    <row r="74">
      <c r="A74" s="4"/>
      <c r="E74" s="82"/>
    </row>
    <row r="75">
      <c r="A75" s="4"/>
      <c r="E75" s="82"/>
    </row>
    <row r="76">
      <c r="A76" s="4"/>
      <c r="E76" s="82"/>
    </row>
    <row r="77">
      <c r="A77" s="4"/>
      <c r="E77" s="82"/>
    </row>
    <row r="78">
      <c r="A78" s="4"/>
      <c r="E78" s="82"/>
    </row>
    <row r="79">
      <c r="A79" s="4"/>
      <c r="E79" s="82"/>
    </row>
    <row r="80">
      <c r="A80" s="4"/>
      <c r="E80" s="82"/>
    </row>
    <row r="81">
      <c r="A81" s="4"/>
      <c r="E81" s="82"/>
    </row>
    <row r="82">
      <c r="A82" s="4"/>
      <c r="E82" s="82"/>
    </row>
    <row r="83">
      <c r="A83" s="4"/>
      <c r="E83" s="82"/>
    </row>
    <row r="84">
      <c r="A84" s="4"/>
      <c r="E84" s="82"/>
    </row>
    <row r="85">
      <c r="A85" s="4"/>
      <c r="E85" s="82"/>
    </row>
    <row r="86">
      <c r="A86" s="4"/>
      <c r="E86" s="82"/>
    </row>
    <row r="87">
      <c r="A87" s="4"/>
      <c r="E87" s="82"/>
    </row>
    <row r="88">
      <c r="A88" s="4"/>
      <c r="E88" s="82"/>
    </row>
    <row r="89">
      <c r="A89" s="4"/>
      <c r="E89" s="82"/>
    </row>
    <row r="90">
      <c r="A90" s="4"/>
      <c r="E90" s="82"/>
    </row>
    <row r="91">
      <c r="A91" s="4"/>
      <c r="E91" s="82"/>
    </row>
    <row r="92">
      <c r="A92" s="4"/>
      <c r="E92" s="82"/>
    </row>
    <row r="93">
      <c r="A93" s="4"/>
      <c r="E93" s="82"/>
    </row>
    <row r="94">
      <c r="A94" s="4"/>
      <c r="E94" s="82"/>
    </row>
    <row r="95">
      <c r="A95" s="4"/>
      <c r="E95" s="82"/>
    </row>
    <row r="96">
      <c r="A96" s="4"/>
      <c r="E96" s="82"/>
    </row>
    <row r="97">
      <c r="A97" s="4"/>
      <c r="E97" s="82"/>
    </row>
    <row r="98">
      <c r="A98" s="4"/>
      <c r="E98" s="82"/>
    </row>
    <row r="99">
      <c r="A99" s="4"/>
      <c r="E99" s="82"/>
    </row>
    <row r="100">
      <c r="A100" s="4"/>
      <c r="E100" s="82"/>
    </row>
    <row r="101">
      <c r="E101" s="82"/>
    </row>
    <row r="102">
      <c r="E102" s="82"/>
    </row>
    <row r="103">
      <c r="E103" s="82"/>
    </row>
    <row r="104">
      <c r="E104" s="82"/>
    </row>
    <row r="105">
      <c r="E105" s="82"/>
    </row>
    <row r="106">
      <c r="E106" s="82"/>
    </row>
    <row r="107">
      <c r="E107" s="82"/>
    </row>
    <row r="108">
      <c r="E108" s="82"/>
    </row>
    <row r="109">
      <c r="E109" s="82"/>
    </row>
    <row r="110">
      <c r="E110" s="82"/>
    </row>
    <row r="111">
      <c r="E111" s="82"/>
    </row>
    <row r="112">
      <c r="E112" s="82"/>
    </row>
    <row r="113">
      <c r="E113" s="82"/>
    </row>
    <row r="114">
      <c r="E114" s="82"/>
    </row>
    <row r="115">
      <c r="E115" s="82"/>
    </row>
    <row r="116">
      <c r="E116" s="82"/>
    </row>
    <row r="117">
      <c r="E117" s="82"/>
    </row>
    <row r="118">
      <c r="E118" s="82"/>
    </row>
    <row r="119">
      <c r="E119" s="82"/>
    </row>
    <row r="120">
      <c r="E120" s="82"/>
    </row>
    <row r="121">
      <c r="E121" s="82"/>
    </row>
    <row r="122">
      <c r="E122" s="82"/>
    </row>
    <row r="123">
      <c r="E123" s="82"/>
    </row>
    <row r="124">
      <c r="E124" s="82"/>
    </row>
    <row r="125">
      <c r="E125" s="82"/>
    </row>
    <row r="126">
      <c r="E126" s="82"/>
    </row>
    <row r="127">
      <c r="E127" s="82"/>
    </row>
    <row r="128">
      <c r="E128" s="82"/>
    </row>
    <row r="129">
      <c r="E129" s="82"/>
    </row>
    <row r="130">
      <c r="E130" s="82"/>
    </row>
    <row r="131">
      <c r="E131" s="82"/>
    </row>
    <row r="132">
      <c r="E132" s="82"/>
    </row>
    <row r="133">
      <c r="E133" s="82"/>
    </row>
    <row r="134">
      <c r="E134" s="82"/>
    </row>
    <row r="135">
      <c r="E135" s="82"/>
    </row>
    <row r="136">
      <c r="E136" s="82"/>
    </row>
    <row r="137">
      <c r="E137" s="82"/>
    </row>
    <row r="138">
      <c r="E138" s="82"/>
    </row>
    <row r="139">
      <c r="E139" s="82"/>
    </row>
    <row r="140">
      <c r="E140" s="82"/>
    </row>
    <row r="141">
      <c r="E141" s="82"/>
    </row>
    <row r="142">
      <c r="E142" s="82"/>
    </row>
    <row r="143">
      <c r="E143" s="82"/>
    </row>
    <row r="144">
      <c r="E144" s="82"/>
    </row>
    <row r="145">
      <c r="E145" s="82"/>
    </row>
    <row r="146">
      <c r="E146" s="82"/>
    </row>
    <row r="147">
      <c r="E147" s="82"/>
    </row>
    <row r="148">
      <c r="E148" s="82"/>
    </row>
    <row r="149">
      <c r="E149" s="82"/>
    </row>
    <row r="150">
      <c r="E150" s="82"/>
    </row>
    <row r="151">
      <c r="E151" s="82"/>
    </row>
    <row r="152">
      <c r="E152" s="82"/>
    </row>
    <row r="153">
      <c r="E153" s="82"/>
    </row>
    <row r="154">
      <c r="E154" s="82"/>
    </row>
    <row r="155">
      <c r="E155" s="82"/>
    </row>
    <row r="156">
      <c r="E156" s="82"/>
    </row>
    <row r="157">
      <c r="E157" s="82"/>
    </row>
    <row r="158">
      <c r="E158" s="82"/>
    </row>
    <row r="159">
      <c r="E159" s="82"/>
    </row>
    <row r="160">
      <c r="E160" s="82"/>
    </row>
    <row r="161">
      <c r="E161" s="82"/>
    </row>
    <row r="162">
      <c r="E162" s="82"/>
    </row>
    <row r="163">
      <c r="E163" s="82"/>
    </row>
    <row r="164">
      <c r="E164" s="82"/>
    </row>
    <row r="165">
      <c r="E165" s="82"/>
    </row>
    <row r="166">
      <c r="E166" s="82"/>
    </row>
    <row r="167">
      <c r="E167" s="82"/>
    </row>
    <row r="168">
      <c r="E168" s="82"/>
    </row>
    <row r="169">
      <c r="E169" s="82"/>
    </row>
    <row r="170">
      <c r="E170" s="82"/>
    </row>
    <row r="171">
      <c r="E171" s="82"/>
    </row>
    <row r="172">
      <c r="E172" s="82"/>
    </row>
    <row r="173">
      <c r="E173" s="82"/>
    </row>
    <row r="174">
      <c r="E174" s="82"/>
    </row>
    <row r="175">
      <c r="E175" s="82"/>
    </row>
    <row r="176">
      <c r="E176" s="82"/>
    </row>
    <row r="177">
      <c r="E177" s="82"/>
    </row>
    <row r="178">
      <c r="E178" s="82"/>
    </row>
    <row r="179">
      <c r="E179" s="82"/>
    </row>
    <row r="180">
      <c r="E180" s="82"/>
    </row>
    <row r="181">
      <c r="E181" s="82"/>
    </row>
    <row r="182">
      <c r="E182" s="82"/>
    </row>
    <row r="183">
      <c r="E183" s="82"/>
    </row>
    <row r="184">
      <c r="E184" s="82"/>
    </row>
    <row r="185">
      <c r="E185" s="82"/>
    </row>
    <row r="186">
      <c r="E186" s="82"/>
    </row>
    <row r="187">
      <c r="E187" s="82"/>
    </row>
    <row r="188">
      <c r="E188" s="82"/>
    </row>
    <row r="189">
      <c r="E189" s="82"/>
    </row>
    <row r="190">
      <c r="E190" s="82"/>
    </row>
    <row r="191">
      <c r="E191" s="82"/>
    </row>
    <row r="192">
      <c r="E192" s="82"/>
    </row>
    <row r="193">
      <c r="E193" s="82"/>
    </row>
    <row r="194">
      <c r="E194" s="82"/>
    </row>
    <row r="195">
      <c r="E195" s="82"/>
    </row>
    <row r="196">
      <c r="E196" s="82"/>
    </row>
    <row r="197">
      <c r="E197" s="82"/>
    </row>
    <row r="198">
      <c r="E198" s="82"/>
    </row>
    <row r="199">
      <c r="E199" s="82"/>
    </row>
    <row r="200">
      <c r="E200" s="82"/>
    </row>
    <row r="201">
      <c r="E201" s="82"/>
    </row>
    <row r="202">
      <c r="E202" s="82"/>
    </row>
    <row r="203">
      <c r="E203" s="82"/>
    </row>
    <row r="204">
      <c r="E204" s="82"/>
    </row>
    <row r="205">
      <c r="E205" s="82"/>
    </row>
    <row r="206">
      <c r="E206" s="82"/>
    </row>
    <row r="207">
      <c r="E207" s="82"/>
    </row>
    <row r="208">
      <c r="E208" s="82"/>
    </row>
    <row r="209">
      <c r="E209" s="82"/>
    </row>
    <row r="210">
      <c r="E210" s="82"/>
    </row>
    <row r="211">
      <c r="E211" s="82"/>
    </row>
    <row r="212">
      <c r="E212" s="82"/>
    </row>
    <row r="213">
      <c r="E213" s="82"/>
    </row>
    <row r="214">
      <c r="E214" s="82"/>
    </row>
    <row r="215">
      <c r="E215" s="82"/>
    </row>
    <row r="216">
      <c r="E216" s="82"/>
    </row>
    <row r="217">
      <c r="E217" s="82"/>
    </row>
    <row r="218">
      <c r="E218" s="82"/>
    </row>
    <row r="219">
      <c r="E219" s="82"/>
    </row>
    <row r="220">
      <c r="E220" s="82"/>
    </row>
    <row r="221">
      <c r="E221" s="82"/>
    </row>
    <row r="222">
      <c r="E222" s="82"/>
    </row>
    <row r="223">
      <c r="E223" s="82"/>
    </row>
    <row r="224">
      <c r="E224" s="82"/>
    </row>
    <row r="225">
      <c r="E225" s="82"/>
    </row>
    <row r="226">
      <c r="E226" s="82"/>
    </row>
    <row r="227">
      <c r="E227" s="82"/>
    </row>
    <row r="228">
      <c r="E228" s="82"/>
    </row>
    <row r="229">
      <c r="E229" s="82"/>
    </row>
    <row r="230">
      <c r="E230" s="82"/>
    </row>
    <row r="231">
      <c r="E231" s="82"/>
    </row>
    <row r="232">
      <c r="E232" s="82"/>
    </row>
    <row r="233">
      <c r="E233" s="82"/>
    </row>
    <row r="234">
      <c r="E234" s="82"/>
    </row>
    <row r="235">
      <c r="E235" s="82"/>
    </row>
    <row r="236">
      <c r="E236" s="82"/>
    </row>
    <row r="237">
      <c r="E237" s="82"/>
    </row>
    <row r="238">
      <c r="E238" s="82"/>
    </row>
    <row r="239">
      <c r="E239" s="82"/>
    </row>
    <row r="240">
      <c r="E240" s="82"/>
    </row>
    <row r="241">
      <c r="E241" s="82"/>
    </row>
    <row r="242">
      <c r="E242" s="82"/>
    </row>
    <row r="243">
      <c r="E243" s="82"/>
    </row>
    <row r="244">
      <c r="E244" s="82"/>
    </row>
    <row r="245">
      <c r="E245" s="82"/>
    </row>
    <row r="246">
      <c r="E246" s="82"/>
    </row>
    <row r="247">
      <c r="E247" s="82"/>
    </row>
    <row r="248">
      <c r="E248" s="82"/>
    </row>
    <row r="249">
      <c r="E249" s="82"/>
    </row>
    <row r="250">
      <c r="E250" s="82"/>
    </row>
    <row r="251">
      <c r="E251" s="82"/>
    </row>
    <row r="252">
      <c r="E252" s="82"/>
    </row>
    <row r="253">
      <c r="E253" s="82"/>
    </row>
    <row r="254">
      <c r="E254" s="82"/>
    </row>
    <row r="255">
      <c r="E255" s="82"/>
    </row>
    <row r="256">
      <c r="E256" s="82"/>
    </row>
    <row r="257">
      <c r="E257" s="82"/>
    </row>
    <row r="258">
      <c r="E258" s="82"/>
    </row>
    <row r="259">
      <c r="E259" s="82"/>
    </row>
    <row r="260">
      <c r="E260" s="82"/>
    </row>
    <row r="261">
      <c r="E261" s="82"/>
    </row>
    <row r="262">
      <c r="E262" s="82"/>
    </row>
    <row r="263">
      <c r="E263" s="82"/>
    </row>
    <row r="264">
      <c r="E264" s="82"/>
    </row>
    <row r="265">
      <c r="E265" s="82"/>
    </row>
    <row r="266">
      <c r="E266" s="82"/>
    </row>
    <row r="267">
      <c r="E267" s="82"/>
    </row>
    <row r="268">
      <c r="E268" s="82"/>
    </row>
    <row r="269">
      <c r="E269" s="82"/>
    </row>
    <row r="270">
      <c r="E270" s="82"/>
    </row>
    <row r="271">
      <c r="E271" s="82"/>
    </row>
    <row r="272">
      <c r="E272" s="82"/>
    </row>
    <row r="273">
      <c r="E273" s="82"/>
    </row>
    <row r="274">
      <c r="E274" s="82"/>
    </row>
    <row r="275">
      <c r="E275" s="82"/>
    </row>
    <row r="276">
      <c r="E276" s="82"/>
    </row>
    <row r="277">
      <c r="E277" s="82"/>
    </row>
    <row r="278">
      <c r="E278" s="82"/>
    </row>
    <row r="279">
      <c r="E279" s="82"/>
    </row>
    <row r="280">
      <c r="E280" s="82"/>
    </row>
    <row r="281">
      <c r="E281" s="82"/>
    </row>
    <row r="282">
      <c r="E282" s="82"/>
    </row>
    <row r="283">
      <c r="E283" s="82"/>
    </row>
    <row r="284">
      <c r="E284" s="82"/>
    </row>
    <row r="285">
      <c r="E285" s="82"/>
    </row>
    <row r="286">
      <c r="E286" s="82"/>
    </row>
    <row r="287">
      <c r="E287" s="82"/>
    </row>
    <row r="288">
      <c r="E288" s="82"/>
    </row>
    <row r="289">
      <c r="E289" s="82"/>
    </row>
    <row r="290">
      <c r="E290" s="82"/>
    </row>
    <row r="291">
      <c r="E291" s="82"/>
    </row>
    <row r="292">
      <c r="E292" s="82"/>
    </row>
    <row r="293">
      <c r="E293" s="82"/>
    </row>
    <row r="294">
      <c r="E294" s="82"/>
    </row>
    <row r="295">
      <c r="E295" s="82"/>
    </row>
    <row r="296">
      <c r="E296" s="82"/>
    </row>
    <row r="297">
      <c r="E297" s="82"/>
    </row>
    <row r="298">
      <c r="E298" s="82"/>
    </row>
    <row r="299">
      <c r="E299" s="82"/>
    </row>
    <row r="300">
      <c r="E300" s="82"/>
    </row>
    <row r="301">
      <c r="E301" s="82"/>
    </row>
    <row r="302">
      <c r="E302" s="82"/>
    </row>
    <row r="303">
      <c r="E303" s="82"/>
    </row>
    <row r="304">
      <c r="E304" s="82"/>
    </row>
    <row r="305">
      <c r="E305" s="82"/>
    </row>
    <row r="306">
      <c r="E306" s="82"/>
    </row>
    <row r="307">
      <c r="E307" s="82"/>
    </row>
    <row r="308">
      <c r="E308" s="82"/>
    </row>
    <row r="309">
      <c r="E309" s="82"/>
    </row>
    <row r="310">
      <c r="E310" s="82"/>
    </row>
    <row r="311">
      <c r="E311" s="82"/>
    </row>
    <row r="312">
      <c r="E312" s="82"/>
    </row>
    <row r="313">
      <c r="E313" s="82"/>
    </row>
    <row r="314">
      <c r="E314" s="82"/>
    </row>
    <row r="315">
      <c r="E315" s="82"/>
    </row>
    <row r="316">
      <c r="E316" s="82"/>
    </row>
    <row r="317">
      <c r="E317" s="82"/>
    </row>
    <row r="318">
      <c r="E318" s="82"/>
    </row>
    <row r="319">
      <c r="E319" s="82"/>
    </row>
    <row r="320">
      <c r="E320" s="82"/>
    </row>
    <row r="321">
      <c r="E321" s="82"/>
    </row>
    <row r="322">
      <c r="E322" s="82"/>
    </row>
    <row r="323">
      <c r="E323" s="82"/>
    </row>
    <row r="324">
      <c r="E324" s="82"/>
    </row>
    <row r="325">
      <c r="E325" s="82"/>
    </row>
    <row r="326">
      <c r="E326" s="82"/>
    </row>
    <row r="327">
      <c r="E327" s="82"/>
    </row>
    <row r="328">
      <c r="E328" s="82"/>
    </row>
    <row r="329">
      <c r="E329" s="82"/>
    </row>
    <row r="330">
      <c r="E330" s="82"/>
    </row>
    <row r="331">
      <c r="E331" s="82"/>
    </row>
    <row r="332">
      <c r="E332" s="82"/>
    </row>
    <row r="333">
      <c r="E333" s="82"/>
    </row>
    <row r="334">
      <c r="E334" s="82"/>
    </row>
    <row r="335">
      <c r="E335" s="82"/>
    </row>
    <row r="336">
      <c r="E336" s="82"/>
    </row>
    <row r="337">
      <c r="E337" s="82"/>
    </row>
    <row r="338">
      <c r="E338" s="82"/>
    </row>
    <row r="339">
      <c r="E339" s="82"/>
    </row>
    <row r="340">
      <c r="E340" s="82"/>
    </row>
    <row r="341">
      <c r="E341" s="82"/>
    </row>
    <row r="342">
      <c r="E342" s="82"/>
    </row>
    <row r="343">
      <c r="E343" s="82"/>
    </row>
    <row r="344">
      <c r="E344" s="82"/>
    </row>
    <row r="345">
      <c r="E345" s="82"/>
    </row>
    <row r="346">
      <c r="E346" s="82"/>
    </row>
    <row r="347">
      <c r="E347" s="82"/>
    </row>
    <row r="348">
      <c r="E348" s="82"/>
    </row>
    <row r="349">
      <c r="E349" s="82"/>
    </row>
    <row r="350">
      <c r="E350" s="82"/>
    </row>
    <row r="351">
      <c r="E351" s="82"/>
    </row>
    <row r="352">
      <c r="E352" s="82"/>
    </row>
    <row r="353">
      <c r="E353" s="82"/>
    </row>
    <row r="354">
      <c r="E354" s="82"/>
    </row>
    <row r="355">
      <c r="E355" s="82"/>
    </row>
    <row r="356">
      <c r="E356" s="82"/>
    </row>
    <row r="357">
      <c r="E357" s="82"/>
    </row>
    <row r="358">
      <c r="E358" s="82"/>
    </row>
    <row r="359">
      <c r="E359" s="82"/>
    </row>
    <row r="360">
      <c r="E360" s="82"/>
    </row>
    <row r="361">
      <c r="E361" s="82"/>
    </row>
    <row r="362">
      <c r="E362" s="82"/>
    </row>
    <row r="363">
      <c r="E363" s="82"/>
    </row>
    <row r="364">
      <c r="E364" s="82"/>
    </row>
    <row r="365">
      <c r="E365" s="82"/>
    </row>
    <row r="366">
      <c r="E366" s="82"/>
    </row>
    <row r="367">
      <c r="E367" s="82"/>
    </row>
    <row r="368">
      <c r="E368" s="82"/>
    </row>
    <row r="369">
      <c r="E369" s="82"/>
    </row>
    <row r="370">
      <c r="E370" s="82"/>
    </row>
    <row r="371">
      <c r="E371" s="82"/>
    </row>
    <row r="372">
      <c r="E372" s="82"/>
    </row>
    <row r="373">
      <c r="E373" s="82"/>
    </row>
    <row r="374">
      <c r="E374" s="82"/>
    </row>
    <row r="375">
      <c r="E375" s="82"/>
    </row>
    <row r="376">
      <c r="E376" s="82"/>
    </row>
    <row r="377">
      <c r="E377" s="82"/>
    </row>
    <row r="378">
      <c r="E378" s="82"/>
    </row>
    <row r="379">
      <c r="E379" s="82"/>
    </row>
    <row r="380">
      <c r="E380" s="82"/>
    </row>
    <row r="381">
      <c r="E381" s="82"/>
    </row>
    <row r="382">
      <c r="E382" s="82"/>
    </row>
    <row r="383">
      <c r="E383" s="82"/>
    </row>
    <row r="384">
      <c r="E384" s="82"/>
    </row>
    <row r="385">
      <c r="E385" s="82"/>
    </row>
    <row r="386">
      <c r="E386" s="82"/>
    </row>
    <row r="387">
      <c r="E387" s="82"/>
    </row>
    <row r="388">
      <c r="E388" s="82"/>
    </row>
    <row r="389">
      <c r="E389" s="82"/>
    </row>
    <row r="390">
      <c r="E390" s="82"/>
    </row>
    <row r="391">
      <c r="E391" s="82"/>
    </row>
    <row r="392">
      <c r="E392" s="82"/>
    </row>
    <row r="393">
      <c r="E393" s="82"/>
    </row>
    <row r="394">
      <c r="E394" s="82"/>
    </row>
    <row r="395">
      <c r="E395" s="82"/>
    </row>
    <row r="396">
      <c r="E396" s="82"/>
    </row>
    <row r="397">
      <c r="E397" s="82"/>
    </row>
    <row r="398">
      <c r="E398" s="82"/>
    </row>
    <row r="399">
      <c r="E399" s="82"/>
    </row>
    <row r="400">
      <c r="E400" s="82"/>
    </row>
    <row r="401">
      <c r="E401" s="82"/>
    </row>
    <row r="402">
      <c r="E402" s="82"/>
    </row>
    <row r="403">
      <c r="E403" s="82"/>
    </row>
    <row r="404">
      <c r="E404" s="82"/>
    </row>
    <row r="405">
      <c r="E405" s="82"/>
    </row>
    <row r="406">
      <c r="E406" s="82"/>
    </row>
    <row r="407">
      <c r="E407" s="82"/>
    </row>
    <row r="408">
      <c r="E408" s="82"/>
    </row>
    <row r="409">
      <c r="E409" s="82"/>
    </row>
    <row r="410">
      <c r="E410" s="82"/>
    </row>
    <row r="411">
      <c r="E411" s="82"/>
    </row>
    <row r="412">
      <c r="E412" s="82"/>
    </row>
    <row r="413">
      <c r="E413" s="82"/>
    </row>
    <row r="414">
      <c r="E414" s="82"/>
    </row>
    <row r="415">
      <c r="E415" s="82"/>
    </row>
    <row r="416">
      <c r="E416" s="82"/>
    </row>
    <row r="417">
      <c r="E417" s="82"/>
    </row>
    <row r="418">
      <c r="E418" s="82"/>
    </row>
    <row r="419">
      <c r="E419" s="82"/>
    </row>
    <row r="420">
      <c r="E420" s="82"/>
    </row>
    <row r="421">
      <c r="E421" s="82"/>
    </row>
    <row r="422">
      <c r="E422" s="82"/>
    </row>
    <row r="423">
      <c r="E423" s="82"/>
    </row>
    <row r="424">
      <c r="E424" s="82"/>
    </row>
    <row r="425">
      <c r="E425" s="82"/>
    </row>
    <row r="426">
      <c r="E426" s="82"/>
    </row>
    <row r="427">
      <c r="E427" s="82"/>
    </row>
    <row r="428">
      <c r="E428" s="82"/>
    </row>
    <row r="429">
      <c r="E429" s="82"/>
    </row>
    <row r="430">
      <c r="E430" s="82"/>
    </row>
    <row r="431">
      <c r="E431" s="82"/>
    </row>
    <row r="432">
      <c r="E432" s="82"/>
    </row>
    <row r="433">
      <c r="E433" s="82"/>
    </row>
    <row r="434">
      <c r="E434" s="82"/>
    </row>
    <row r="435">
      <c r="E435" s="82"/>
    </row>
    <row r="436">
      <c r="E436" s="82"/>
    </row>
    <row r="437">
      <c r="E437" s="82"/>
    </row>
    <row r="438">
      <c r="E438" s="82"/>
    </row>
    <row r="439">
      <c r="E439" s="82"/>
    </row>
    <row r="440">
      <c r="E440" s="82"/>
    </row>
    <row r="441">
      <c r="E441" s="82"/>
    </row>
    <row r="442">
      <c r="E442" s="82"/>
    </row>
    <row r="443">
      <c r="E443" s="82"/>
    </row>
    <row r="444">
      <c r="E444" s="82"/>
    </row>
    <row r="445">
      <c r="E445" s="82"/>
    </row>
    <row r="446">
      <c r="E446" s="82"/>
    </row>
    <row r="447">
      <c r="E447" s="82"/>
    </row>
    <row r="448">
      <c r="E448" s="82"/>
    </row>
    <row r="449">
      <c r="E449" s="82"/>
    </row>
    <row r="450">
      <c r="E450" s="82"/>
    </row>
    <row r="451">
      <c r="E451" s="82"/>
    </row>
    <row r="452">
      <c r="E452" s="82"/>
    </row>
    <row r="453">
      <c r="E453" s="82"/>
    </row>
    <row r="454">
      <c r="E454" s="82"/>
    </row>
    <row r="455">
      <c r="E455" s="82"/>
    </row>
    <row r="456">
      <c r="E456" s="82"/>
    </row>
    <row r="457">
      <c r="E457" s="82"/>
    </row>
    <row r="458">
      <c r="E458" s="82"/>
    </row>
    <row r="459">
      <c r="E459" s="82"/>
    </row>
    <row r="460">
      <c r="E460" s="82"/>
    </row>
    <row r="461">
      <c r="E461" s="82"/>
    </row>
    <row r="462">
      <c r="E462" s="82"/>
    </row>
    <row r="463">
      <c r="E463" s="82"/>
    </row>
    <row r="464">
      <c r="E464" s="82"/>
    </row>
    <row r="465">
      <c r="E465" s="82"/>
    </row>
    <row r="466">
      <c r="E466" s="82"/>
    </row>
    <row r="467">
      <c r="E467" s="82"/>
    </row>
    <row r="468">
      <c r="E468" s="82"/>
    </row>
    <row r="469">
      <c r="E469" s="82"/>
    </row>
    <row r="470">
      <c r="E470" s="82"/>
    </row>
    <row r="471">
      <c r="E471" s="82"/>
    </row>
    <row r="472">
      <c r="E472" s="82"/>
    </row>
    <row r="473">
      <c r="E473" s="82"/>
    </row>
    <row r="474">
      <c r="E474" s="82"/>
    </row>
    <row r="475">
      <c r="E475" s="82"/>
    </row>
    <row r="476">
      <c r="E476" s="82"/>
    </row>
    <row r="477">
      <c r="E477" s="82"/>
    </row>
    <row r="478">
      <c r="E478" s="82"/>
    </row>
    <row r="479">
      <c r="E479" s="82"/>
    </row>
    <row r="480">
      <c r="E480" s="82"/>
    </row>
    <row r="481">
      <c r="E481" s="82"/>
    </row>
    <row r="482">
      <c r="E482" s="82"/>
    </row>
    <row r="483">
      <c r="E483" s="82"/>
    </row>
    <row r="484">
      <c r="E484" s="82"/>
    </row>
    <row r="485">
      <c r="E485" s="82"/>
    </row>
    <row r="486">
      <c r="E486" s="82"/>
    </row>
    <row r="487">
      <c r="E487" s="82"/>
    </row>
    <row r="488">
      <c r="E488" s="82"/>
    </row>
    <row r="489">
      <c r="E489" s="82"/>
    </row>
    <row r="490">
      <c r="E490" s="82"/>
    </row>
    <row r="491">
      <c r="E491" s="82"/>
    </row>
    <row r="492">
      <c r="E492" s="82"/>
    </row>
    <row r="493">
      <c r="E493" s="82"/>
    </row>
    <row r="494">
      <c r="E494" s="82"/>
    </row>
    <row r="495">
      <c r="E495" s="82"/>
    </row>
    <row r="496">
      <c r="E496" s="82"/>
    </row>
    <row r="497">
      <c r="E497" s="82"/>
    </row>
    <row r="498">
      <c r="E498" s="82"/>
    </row>
    <row r="499">
      <c r="E499" s="82"/>
    </row>
    <row r="500">
      <c r="E500" s="82"/>
    </row>
    <row r="501">
      <c r="E501" s="82"/>
    </row>
    <row r="502">
      <c r="E502" s="82"/>
    </row>
    <row r="503">
      <c r="E503" s="82"/>
    </row>
    <row r="504">
      <c r="E504" s="82"/>
    </row>
    <row r="505">
      <c r="E505" s="82"/>
    </row>
    <row r="506">
      <c r="E506" s="82"/>
    </row>
    <row r="507">
      <c r="E507" s="82"/>
    </row>
    <row r="508">
      <c r="E508" s="82"/>
    </row>
    <row r="509">
      <c r="E509" s="82"/>
    </row>
    <row r="510">
      <c r="E510" s="82"/>
    </row>
    <row r="511">
      <c r="E511" s="82"/>
    </row>
    <row r="512">
      <c r="E512" s="82"/>
    </row>
    <row r="513">
      <c r="E513" s="82"/>
    </row>
    <row r="514">
      <c r="E514" s="82"/>
    </row>
    <row r="515">
      <c r="E515" s="82"/>
    </row>
    <row r="516">
      <c r="E516" s="82"/>
    </row>
    <row r="517">
      <c r="E517" s="82"/>
    </row>
    <row r="518">
      <c r="E518" s="82"/>
    </row>
    <row r="519">
      <c r="E519" s="82"/>
    </row>
    <row r="520">
      <c r="E520" s="82"/>
    </row>
    <row r="521">
      <c r="E521" s="82"/>
    </row>
    <row r="522">
      <c r="E522" s="82"/>
    </row>
    <row r="523">
      <c r="E523" s="82"/>
    </row>
    <row r="524">
      <c r="E524" s="82"/>
    </row>
    <row r="525">
      <c r="E525" s="82"/>
    </row>
    <row r="526">
      <c r="E526" s="82"/>
    </row>
    <row r="527">
      <c r="E527" s="82"/>
    </row>
    <row r="528">
      <c r="E528" s="82"/>
    </row>
    <row r="529">
      <c r="E529" s="82"/>
    </row>
    <row r="530">
      <c r="E530" s="82"/>
    </row>
    <row r="531">
      <c r="E531" s="82"/>
    </row>
    <row r="532">
      <c r="E532" s="82"/>
    </row>
    <row r="533">
      <c r="E533" s="82"/>
    </row>
    <row r="534">
      <c r="E534" s="82"/>
    </row>
    <row r="535">
      <c r="E535" s="82"/>
    </row>
    <row r="536">
      <c r="E536" s="82"/>
    </row>
    <row r="537">
      <c r="E537" s="82"/>
    </row>
    <row r="538">
      <c r="E538" s="82"/>
    </row>
    <row r="539">
      <c r="E539" s="82"/>
    </row>
    <row r="540">
      <c r="E540" s="82"/>
    </row>
    <row r="541">
      <c r="E541" s="82"/>
    </row>
    <row r="542">
      <c r="E542" s="82"/>
    </row>
    <row r="543">
      <c r="E543" s="82"/>
    </row>
    <row r="544">
      <c r="E544" s="82"/>
    </row>
    <row r="545">
      <c r="E545" s="82"/>
    </row>
    <row r="546">
      <c r="E546" s="82"/>
    </row>
    <row r="547">
      <c r="E547" s="82"/>
    </row>
    <row r="548">
      <c r="E548" s="82"/>
    </row>
    <row r="549">
      <c r="E549" s="82"/>
    </row>
    <row r="550">
      <c r="E550" s="82"/>
    </row>
    <row r="551">
      <c r="E551" s="82"/>
    </row>
    <row r="552">
      <c r="E552" s="82"/>
    </row>
    <row r="553">
      <c r="E553" s="82"/>
    </row>
    <row r="554">
      <c r="E554" s="82"/>
    </row>
    <row r="555">
      <c r="E555" s="82"/>
    </row>
    <row r="556">
      <c r="E556" s="82"/>
    </row>
    <row r="557">
      <c r="E557" s="82"/>
    </row>
    <row r="558">
      <c r="E558" s="82"/>
    </row>
    <row r="559">
      <c r="E559" s="82"/>
    </row>
    <row r="560">
      <c r="E560" s="82"/>
    </row>
    <row r="561">
      <c r="E561" s="82"/>
    </row>
    <row r="562">
      <c r="E562" s="82"/>
    </row>
    <row r="563">
      <c r="E563" s="82"/>
    </row>
    <row r="564">
      <c r="E564" s="82"/>
    </row>
    <row r="565">
      <c r="E565" s="82"/>
    </row>
    <row r="566">
      <c r="E566" s="82"/>
    </row>
    <row r="567">
      <c r="E567" s="82"/>
    </row>
    <row r="568">
      <c r="E568" s="82"/>
    </row>
    <row r="569">
      <c r="E569" s="82"/>
    </row>
    <row r="570">
      <c r="E570" s="82"/>
    </row>
    <row r="571">
      <c r="E571" s="82"/>
    </row>
    <row r="572">
      <c r="E572" s="82"/>
    </row>
    <row r="573">
      <c r="E573" s="82"/>
    </row>
    <row r="574">
      <c r="E574" s="82"/>
    </row>
    <row r="575">
      <c r="E575" s="82"/>
    </row>
    <row r="576">
      <c r="E576" s="82"/>
    </row>
    <row r="577">
      <c r="E577" s="82"/>
    </row>
    <row r="578">
      <c r="E578" s="82"/>
    </row>
    <row r="579">
      <c r="E579" s="82"/>
    </row>
    <row r="580">
      <c r="E580" s="82"/>
    </row>
    <row r="581">
      <c r="E581" s="82"/>
    </row>
    <row r="582">
      <c r="E582" s="82"/>
    </row>
    <row r="583">
      <c r="E583" s="82"/>
    </row>
    <row r="584">
      <c r="E584" s="82"/>
    </row>
    <row r="585">
      <c r="E585" s="82"/>
    </row>
    <row r="586">
      <c r="E586" s="82"/>
    </row>
    <row r="587">
      <c r="E587" s="82"/>
    </row>
    <row r="588">
      <c r="E588" s="82"/>
    </row>
    <row r="589">
      <c r="E589" s="82"/>
    </row>
    <row r="590">
      <c r="E590" s="82"/>
    </row>
    <row r="591">
      <c r="E591" s="82"/>
    </row>
    <row r="592">
      <c r="E592" s="82"/>
    </row>
    <row r="593">
      <c r="E593" s="82"/>
    </row>
    <row r="594">
      <c r="E594" s="82"/>
    </row>
    <row r="595">
      <c r="E595" s="82"/>
    </row>
    <row r="596">
      <c r="E596" s="82"/>
    </row>
    <row r="597">
      <c r="E597" s="82"/>
    </row>
    <row r="598">
      <c r="E598" s="82"/>
    </row>
    <row r="599">
      <c r="E599" s="82"/>
    </row>
    <row r="600">
      <c r="E600" s="82"/>
    </row>
    <row r="601">
      <c r="E601" s="82"/>
    </row>
    <row r="602">
      <c r="E602" s="82"/>
    </row>
    <row r="603">
      <c r="E603" s="82"/>
    </row>
    <row r="604">
      <c r="E604" s="82"/>
    </row>
    <row r="605">
      <c r="E605" s="82"/>
    </row>
    <row r="606">
      <c r="E606" s="82"/>
    </row>
    <row r="607">
      <c r="E607" s="82"/>
    </row>
    <row r="608">
      <c r="E608" s="82"/>
    </row>
    <row r="609">
      <c r="E609" s="82"/>
    </row>
    <row r="610">
      <c r="E610" s="82"/>
    </row>
    <row r="611">
      <c r="E611" s="82"/>
    </row>
    <row r="612">
      <c r="E612" s="82"/>
    </row>
    <row r="613">
      <c r="E613" s="82"/>
    </row>
    <row r="614">
      <c r="E614" s="82"/>
    </row>
    <row r="615">
      <c r="E615" s="82"/>
    </row>
    <row r="616">
      <c r="E616" s="82"/>
    </row>
    <row r="617">
      <c r="E617" s="82"/>
    </row>
    <row r="618">
      <c r="E618" s="82"/>
    </row>
    <row r="619">
      <c r="E619" s="82"/>
    </row>
    <row r="620">
      <c r="E620" s="82"/>
    </row>
    <row r="621">
      <c r="E621" s="82"/>
    </row>
    <row r="622">
      <c r="E622" s="82"/>
    </row>
    <row r="623">
      <c r="E623" s="82"/>
    </row>
    <row r="624">
      <c r="E624" s="82"/>
    </row>
    <row r="625">
      <c r="E625" s="82"/>
    </row>
    <row r="626">
      <c r="E626" s="82"/>
    </row>
    <row r="627">
      <c r="E627" s="82"/>
    </row>
    <row r="628">
      <c r="E628" s="82"/>
    </row>
    <row r="629">
      <c r="E629" s="82"/>
    </row>
    <row r="630">
      <c r="E630" s="82"/>
    </row>
    <row r="631">
      <c r="E631" s="82"/>
    </row>
    <row r="632">
      <c r="E632" s="82"/>
    </row>
    <row r="633">
      <c r="E633" s="82"/>
    </row>
    <row r="634">
      <c r="E634" s="82"/>
    </row>
    <row r="635">
      <c r="E635" s="82"/>
    </row>
    <row r="636">
      <c r="E636" s="82"/>
    </row>
    <row r="637">
      <c r="E637" s="82"/>
    </row>
    <row r="638">
      <c r="E638" s="82"/>
    </row>
    <row r="639">
      <c r="E639" s="82"/>
    </row>
    <row r="640">
      <c r="E640" s="82"/>
    </row>
    <row r="641">
      <c r="E641" s="82"/>
    </row>
    <row r="642">
      <c r="E642" s="82"/>
    </row>
    <row r="643">
      <c r="E643" s="82"/>
    </row>
    <row r="644">
      <c r="E644" s="82"/>
    </row>
    <row r="645">
      <c r="E645" s="82"/>
    </row>
    <row r="646">
      <c r="E646" s="82"/>
    </row>
    <row r="647">
      <c r="E647" s="82"/>
    </row>
    <row r="648">
      <c r="E648" s="82"/>
    </row>
    <row r="649">
      <c r="E649" s="82"/>
    </row>
    <row r="650">
      <c r="E650" s="82"/>
    </row>
    <row r="651">
      <c r="E651" s="82"/>
    </row>
    <row r="652">
      <c r="E652" s="82"/>
    </row>
    <row r="653">
      <c r="E653" s="82"/>
    </row>
    <row r="654">
      <c r="E654" s="82"/>
    </row>
    <row r="655">
      <c r="E655" s="82"/>
    </row>
    <row r="656">
      <c r="E656" s="82"/>
    </row>
    <row r="657">
      <c r="E657" s="82"/>
    </row>
    <row r="658">
      <c r="E658" s="82"/>
    </row>
    <row r="659">
      <c r="E659" s="82"/>
    </row>
    <row r="660">
      <c r="E660" s="82"/>
    </row>
    <row r="661">
      <c r="E661" s="82"/>
    </row>
    <row r="662">
      <c r="E662" s="82"/>
    </row>
    <row r="663">
      <c r="E663" s="82"/>
    </row>
    <row r="664">
      <c r="E664" s="82"/>
    </row>
    <row r="665">
      <c r="E665" s="82"/>
    </row>
    <row r="666">
      <c r="E666" s="82"/>
    </row>
    <row r="667">
      <c r="E667" s="82"/>
    </row>
    <row r="668">
      <c r="E668" s="82"/>
    </row>
    <row r="669">
      <c r="E669" s="82"/>
    </row>
    <row r="670">
      <c r="E670" s="82"/>
    </row>
    <row r="671">
      <c r="E671" s="82"/>
    </row>
    <row r="672">
      <c r="E672" s="82"/>
    </row>
    <row r="673">
      <c r="E673" s="82"/>
    </row>
    <row r="674">
      <c r="E674" s="82"/>
    </row>
    <row r="675">
      <c r="E675" s="82"/>
    </row>
    <row r="676">
      <c r="E676" s="82"/>
    </row>
    <row r="677">
      <c r="E677" s="82"/>
    </row>
    <row r="678">
      <c r="E678" s="82"/>
    </row>
    <row r="679">
      <c r="E679" s="82"/>
    </row>
    <row r="680">
      <c r="E680" s="82"/>
    </row>
    <row r="681">
      <c r="E681" s="82"/>
    </row>
    <row r="682">
      <c r="E682" s="82"/>
    </row>
    <row r="683">
      <c r="E683" s="82"/>
    </row>
    <row r="684">
      <c r="E684" s="82"/>
    </row>
    <row r="685">
      <c r="E685" s="82"/>
    </row>
    <row r="686">
      <c r="E686" s="82"/>
    </row>
    <row r="687">
      <c r="E687" s="82"/>
    </row>
    <row r="688">
      <c r="E688" s="82"/>
    </row>
    <row r="689">
      <c r="E689" s="82"/>
    </row>
    <row r="690">
      <c r="E690" s="82"/>
    </row>
    <row r="691">
      <c r="E691" s="82"/>
    </row>
    <row r="692">
      <c r="E692" s="82"/>
    </row>
    <row r="693">
      <c r="E693" s="82"/>
    </row>
    <row r="694">
      <c r="E694" s="82"/>
    </row>
    <row r="695">
      <c r="E695" s="82"/>
    </row>
    <row r="696">
      <c r="E696" s="82"/>
    </row>
    <row r="697">
      <c r="E697" s="82"/>
    </row>
    <row r="698">
      <c r="E698" s="82"/>
    </row>
    <row r="699">
      <c r="E699" s="82"/>
    </row>
    <row r="700">
      <c r="E700" s="82"/>
    </row>
    <row r="701">
      <c r="E701" s="82"/>
    </row>
    <row r="702">
      <c r="E702" s="82"/>
    </row>
    <row r="703">
      <c r="E703" s="82"/>
    </row>
    <row r="704">
      <c r="E704" s="82"/>
    </row>
    <row r="705">
      <c r="E705" s="82"/>
    </row>
    <row r="706">
      <c r="E706" s="82"/>
    </row>
    <row r="707">
      <c r="E707" s="82"/>
    </row>
    <row r="708">
      <c r="E708" s="82"/>
    </row>
    <row r="709">
      <c r="E709" s="82"/>
    </row>
    <row r="710">
      <c r="E710" s="82"/>
    </row>
    <row r="711">
      <c r="E711" s="82"/>
    </row>
    <row r="712">
      <c r="E712" s="82"/>
    </row>
    <row r="713">
      <c r="E713" s="82"/>
    </row>
    <row r="714">
      <c r="E714" s="82"/>
    </row>
    <row r="715">
      <c r="E715" s="82"/>
    </row>
    <row r="716">
      <c r="E716" s="82"/>
    </row>
    <row r="717">
      <c r="E717" s="82"/>
    </row>
    <row r="718">
      <c r="E718" s="82"/>
    </row>
    <row r="719">
      <c r="E719" s="82"/>
    </row>
    <row r="720">
      <c r="E720" s="82"/>
    </row>
    <row r="721">
      <c r="E721" s="82"/>
    </row>
    <row r="722">
      <c r="E722" s="82"/>
    </row>
    <row r="723">
      <c r="E723" s="82"/>
    </row>
    <row r="724">
      <c r="E724" s="82"/>
    </row>
    <row r="725">
      <c r="E725" s="82"/>
    </row>
    <row r="726">
      <c r="E726" s="82"/>
    </row>
    <row r="727">
      <c r="E727" s="82"/>
    </row>
    <row r="728">
      <c r="E728" s="82"/>
    </row>
    <row r="729">
      <c r="E729" s="82"/>
    </row>
    <row r="730">
      <c r="E730" s="82"/>
    </row>
    <row r="731">
      <c r="E731" s="82"/>
    </row>
    <row r="732">
      <c r="E732" s="82"/>
    </row>
    <row r="733">
      <c r="E733" s="82"/>
    </row>
    <row r="734">
      <c r="E734" s="82"/>
    </row>
    <row r="735">
      <c r="E735" s="82"/>
    </row>
    <row r="736">
      <c r="E736" s="82"/>
    </row>
    <row r="737">
      <c r="E737" s="82"/>
    </row>
    <row r="738">
      <c r="E738" s="82"/>
    </row>
    <row r="739">
      <c r="E739" s="82"/>
    </row>
    <row r="740">
      <c r="E740" s="82"/>
    </row>
    <row r="741">
      <c r="E741" s="82"/>
    </row>
    <row r="742">
      <c r="E742" s="82"/>
    </row>
    <row r="743">
      <c r="E743" s="82"/>
    </row>
    <row r="744">
      <c r="E744" s="82"/>
    </row>
    <row r="745">
      <c r="E745" s="82"/>
    </row>
    <row r="746">
      <c r="E746" s="82"/>
    </row>
    <row r="747">
      <c r="E747" s="82"/>
    </row>
    <row r="748">
      <c r="E748" s="82"/>
    </row>
    <row r="749">
      <c r="E749" s="82"/>
    </row>
    <row r="750">
      <c r="E750" s="82"/>
    </row>
    <row r="751">
      <c r="E751" s="82"/>
    </row>
    <row r="752">
      <c r="E752" s="82"/>
    </row>
    <row r="753">
      <c r="E753" s="82"/>
    </row>
    <row r="754">
      <c r="E754" s="82"/>
    </row>
    <row r="755">
      <c r="E755" s="82"/>
    </row>
    <row r="756">
      <c r="E756" s="82"/>
    </row>
    <row r="757">
      <c r="E757" s="82"/>
    </row>
    <row r="758">
      <c r="E758" s="82"/>
    </row>
    <row r="759">
      <c r="E759" s="82"/>
    </row>
    <row r="760">
      <c r="E760" s="82"/>
    </row>
    <row r="761">
      <c r="E761" s="82"/>
    </row>
    <row r="762">
      <c r="E762" s="82"/>
    </row>
    <row r="763">
      <c r="E763" s="82"/>
    </row>
    <row r="764">
      <c r="E764" s="82"/>
    </row>
    <row r="765">
      <c r="E765" s="82"/>
    </row>
    <row r="766">
      <c r="E766" s="82"/>
    </row>
    <row r="767">
      <c r="E767" s="82"/>
    </row>
    <row r="768">
      <c r="E768" s="82"/>
    </row>
    <row r="769">
      <c r="E769" s="82"/>
    </row>
    <row r="770">
      <c r="E770" s="82"/>
    </row>
    <row r="771">
      <c r="E771" s="82"/>
    </row>
    <row r="772">
      <c r="E772" s="82"/>
    </row>
    <row r="773">
      <c r="E773" s="82"/>
    </row>
    <row r="774">
      <c r="E774" s="82"/>
    </row>
    <row r="775">
      <c r="E775" s="82"/>
    </row>
    <row r="776">
      <c r="E776" s="82"/>
    </row>
    <row r="777">
      <c r="E777" s="82"/>
    </row>
    <row r="778">
      <c r="E778" s="82"/>
    </row>
    <row r="779">
      <c r="E779" s="82"/>
    </row>
    <row r="780">
      <c r="E780" s="82"/>
    </row>
    <row r="781">
      <c r="E781" s="82"/>
    </row>
    <row r="782">
      <c r="E782" s="82"/>
    </row>
    <row r="783">
      <c r="E783" s="82"/>
    </row>
    <row r="784">
      <c r="E784" s="82"/>
    </row>
    <row r="785">
      <c r="E785" s="82"/>
    </row>
    <row r="786">
      <c r="E786" s="82"/>
    </row>
    <row r="787">
      <c r="E787" s="82"/>
    </row>
    <row r="788">
      <c r="E788" s="82"/>
    </row>
    <row r="789">
      <c r="E789" s="82"/>
    </row>
    <row r="790">
      <c r="E790" s="82"/>
    </row>
    <row r="791">
      <c r="E791" s="82"/>
    </row>
    <row r="792">
      <c r="E792" s="82"/>
    </row>
    <row r="793">
      <c r="E793" s="82"/>
    </row>
    <row r="794">
      <c r="E794" s="82"/>
    </row>
    <row r="795">
      <c r="E795" s="82"/>
    </row>
    <row r="796">
      <c r="E796" s="82"/>
    </row>
    <row r="797">
      <c r="E797" s="82"/>
    </row>
    <row r="798">
      <c r="E798" s="82"/>
    </row>
    <row r="799">
      <c r="E799" s="82"/>
    </row>
    <row r="800">
      <c r="E800" s="82"/>
    </row>
    <row r="801">
      <c r="E801" s="82"/>
    </row>
    <row r="802">
      <c r="E802" s="82"/>
    </row>
    <row r="803">
      <c r="E803" s="82"/>
    </row>
    <row r="804">
      <c r="E804" s="82"/>
    </row>
    <row r="805">
      <c r="E805" s="82"/>
    </row>
    <row r="806">
      <c r="E806" s="82"/>
    </row>
    <row r="807">
      <c r="E807" s="82"/>
    </row>
    <row r="808">
      <c r="E808" s="82"/>
    </row>
    <row r="809">
      <c r="E809" s="82"/>
    </row>
    <row r="810">
      <c r="E810" s="82"/>
    </row>
    <row r="811">
      <c r="E811" s="82"/>
    </row>
    <row r="812">
      <c r="E812" s="82"/>
    </row>
    <row r="813">
      <c r="E813" s="82"/>
    </row>
    <row r="814">
      <c r="E814" s="82"/>
    </row>
    <row r="815">
      <c r="E815" s="82"/>
    </row>
    <row r="816">
      <c r="E816" s="82"/>
    </row>
    <row r="817">
      <c r="E817" s="82"/>
    </row>
    <row r="818">
      <c r="E818" s="82"/>
    </row>
    <row r="819">
      <c r="E819" s="82"/>
    </row>
    <row r="820">
      <c r="E820" s="82"/>
    </row>
    <row r="821">
      <c r="E821" s="82"/>
    </row>
    <row r="822">
      <c r="E822" s="82"/>
    </row>
    <row r="823">
      <c r="E823" s="82"/>
    </row>
    <row r="824">
      <c r="E824" s="82"/>
    </row>
    <row r="825">
      <c r="E825" s="82"/>
    </row>
    <row r="826">
      <c r="E826" s="82"/>
    </row>
    <row r="827">
      <c r="E827" s="82"/>
    </row>
    <row r="828">
      <c r="E828" s="82"/>
    </row>
    <row r="829">
      <c r="E829" s="82"/>
    </row>
    <row r="830">
      <c r="E830" s="82"/>
    </row>
    <row r="831">
      <c r="E831" s="82"/>
    </row>
    <row r="832">
      <c r="E832" s="82"/>
    </row>
    <row r="833">
      <c r="E833" s="82"/>
    </row>
    <row r="834">
      <c r="E834" s="82"/>
    </row>
    <row r="835">
      <c r="E835" s="82"/>
    </row>
    <row r="836">
      <c r="E836" s="82"/>
    </row>
    <row r="837">
      <c r="E837" s="82"/>
    </row>
    <row r="838">
      <c r="E838" s="82"/>
    </row>
    <row r="839">
      <c r="E839" s="82"/>
    </row>
    <row r="840">
      <c r="E840" s="82"/>
    </row>
    <row r="841">
      <c r="E841" s="82"/>
    </row>
    <row r="842">
      <c r="E842" s="82"/>
    </row>
    <row r="843">
      <c r="E843" s="82"/>
    </row>
    <row r="844">
      <c r="E844" s="82"/>
    </row>
    <row r="845">
      <c r="E845" s="82"/>
    </row>
    <row r="846">
      <c r="E846" s="82"/>
    </row>
    <row r="847">
      <c r="E847" s="82"/>
    </row>
    <row r="848">
      <c r="E848" s="82"/>
    </row>
    <row r="849">
      <c r="E849" s="82"/>
    </row>
    <row r="850">
      <c r="E850" s="82"/>
    </row>
    <row r="851">
      <c r="E851" s="82"/>
    </row>
    <row r="852">
      <c r="E852" s="82"/>
    </row>
    <row r="853">
      <c r="E853" s="82"/>
    </row>
    <row r="854">
      <c r="E854" s="82"/>
    </row>
    <row r="855">
      <c r="E855" s="82"/>
    </row>
    <row r="856">
      <c r="E856" s="82"/>
    </row>
    <row r="857">
      <c r="E857" s="82"/>
    </row>
    <row r="858">
      <c r="E858" s="82"/>
    </row>
    <row r="859">
      <c r="E859" s="82"/>
    </row>
    <row r="860">
      <c r="E860" s="82"/>
    </row>
    <row r="861">
      <c r="E861" s="82"/>
    </row>
    <row r="862">
      <c r="E862" s="82"/>
    </row>
    <row r="863">
      <c r="E863" s="82"/>
    </row>
    <row r="864">
      <c r="E864" s="82"/>
    </row>
    <row r="865">
      <c r="E865" s="82"/>
    </row>
    <row r="866">
      <c r="E866" s="82"/>
    </row>
    <row r="867">
      <c r="E867" s="82"/>
    </row>
    <row r="868">
      <c r="E868" s="82"/>
    </row>
    <row r="869">
      <c r="E869" s="82"/>
    </row>
    <row r="870">
      <c r="E870" s="82"/>
    </row>
    <row r="871">
      <c r="E871" s="82"/>
    </row>
    <row r="872">
      <c r="E872" s="82"/>
    </row>
    <row r="873">
      <c r="E873" s="82"/>
    </row>
    <row r="874">
      <c r="E874" s="82"/>
    </row>
    <row r="875">
      <c r="E875" s="82"/>
    </row>
    <row r="876">
      <c r="E876" s="82"/>
    </row>
    <row r="877">
      <c r="E877" s="82"/>
    </row>
    <row r="878">
      <c r="E878" s="82"/>
    </row>
    <row r="879">
      <c r="E879" s="82"/>
    </row>
    <row r="880">
      <c r="E880" s="82"/>
    </row>
    <row r="881">
      <c r="E881" s="82"/>
    </row>
    <row r="882">
      <c r="E882" s="82"/>
    </row>
    <row r="883">
      <c r="E883" s="82"/>
    </row>
    <row r="884">
      <c r="E884" s="82"/>
    </row>
    <row r="885">
      <c r="E885" s="82"/>
    </row>
    <row r="886">
      <c r="E886" s="82"/>
    </row>
    <row r="887">
      <c r="E887" s="82"/>
    </row>
    <row r="888">
      <c r="E888" s="82"/>
    </row>
    <row r="889">
      <c r="E889" s="82"/>
    </row>
    <row r="890">
      <c r="E890" s="82"/>
    </row>
    <row r="891">
      <c r="E891" s="82"/>
    </row>
    <row r="892">
      <c r="E892" s="82"/>
    </row>
    <row r="893">
      <c r="E893" s="82"/>
    </row>
    <row r="894">
      <c r="E894" s="82"/>
    </row>
    <row r="895">
      <c r="E895" s="82"/>
    </row>
    <row r="896">
      <c r="E896" s="82"/>
    </row>
    <row r="897">
      <c r="E897" s="82"/>
    </row>
    <row r="898">
      <c r="E898" s="82"/>
    </row>
    <row r="899">
      <c r="E899" s="82"/>
    </row>
    <row r="900">
      <c r="E900" s="82"/>
    </row>
    <row r="901">
      <c r="E901" s="82"/>
    </row>
    <row r="902">
      <c r="E902" s="82"/>
    </row>
    <row r="903">
      <c r="E903" s="82"/>
    </row>
    <row r="904">
      <c r="E904" s="82"/>
    </row>
    <row r="905">
      <c r="E905" s="82"/>
    </row>
    <row r="906">
      <c r="E906" s="82"/>
    </row>
    <row r="907">
      <c r="E907" s="82"/>
    </row>
    <row r="908">
      <c r="E908" s="82"/>
    </row>
    <row r="909">
      <c r="E909" s="82"/>
    </row>
    <row r="910">
      <c r="E910" s="82"/>
    </row>
    <row r="911">
      <c r="E911" s="82"/>
    </row>
    <row r="912">
      <c r="E912" s="82"/>
    </row>
    <row r="913">
      <c r="E913" s="82"/>
    </row>
    <row r="914">
      <c r="E914" s="82"/>
    </row>
    <row r="915">
      <c r="E915" s="82"/>
    </row>
    <row r="916">
      <c r="E916" s="82"/>
    </row>
    <row r="917">
      <c r="E917" s="82"/>
    </row>
    <row r="918">
      <c r="E918" s="82"/>
    </row>
    <row r="919">
      <c r="E919" s="82"/>
    </row>
    <row r="920">
      <c r="E920" s="82"/>
    </row>
    <row r="921">
      <c r="E921" s="82"/>
    </row>
    <row r="922">
      <c r="E922" s="82"/>
    </row>
    <row r="923">
      <c r="E923" s="82"/>
    </row>
    <row r="924">
      <c r="E924" s="82"/>
    </row>
    <row r="925">
      <c r="E925" s="82"/>
    </row>
    <row r="926">
      <c r="E926" s="82"/>
    </row>
    <row r="927">
      <c r="E927" s="82"/>
    </row>
    <row r="928">
      <c r="E928" s="82"/>
    </row>
    <row r="929">
      <c r="E929" s="82"/>
    </row>
    <row r="930">
      <c r="E930" s="82"/>
    </row>
    <row r="931">
      <c r="E931" s="82"/>
    </row>
    <row r="932">
      <c r="E932" s="82"/>
    </row>
    <row r="933">
      <c r="E933" s="82"/>
    </row>
    <row r="934">
      <c r="E934" s="82"/>
    </row>
    <row r="935">
      <c r="E935" s="82"/>
    </row>
    <row r="936">
      <c r="E936" s="82"/>
    </row>
    <row r="937">
      <c r="E937" s="82"/>
    </row>
    <row r="938">
      <c r="E938" s="82"/>
    </row>
    <row r="939">
      <c r="E939" s="82"/>
    </row>
    <row r="940">
      <c r="E940" s="82"/>
    </row>
    <row r="941">
      <c r="E941" s="82"/>
    </row>
    <row r="942">
      <c r="E942" s="82"/>
    </row>
    <row r="943">
      <c r="E943" s="82"/>
    </row>
    <row r="944">
      <c r="E944" s="82"/>
    </row>
    <row r="945">
      <c r="E945" s="82"/>
    </row>
    <row r="946">
      <c r="E946" s="82"/>
    </row>
    <row r="947">
      <c r="E947" s="82"/>
    </row>
    <row r="948">
      <c r="E948" s="82"/>
    </row>
    <row r="949">
      <c r="E949" s="82"/>
    </row>
    <row r="950">
      <c r="E950" s="82"/>
    </row>
    <row r="951">
      <c r="E951" s="82"/>
    </row>
    <row r="952">
      <c r="E952" s="82"/>
    </row>
    <row r="953">
      <c r="E953" s="82"/>
    </row>
    <row r="954">
      <c r="E954" s="82"/>
    </row>
    <row r="955">
      <c r="E955" s="82"/>
    </row>
    <row r="956">
      <c r="E956" s="82"/>
    </row>
    <row r="957">
      <c r="E957" s="82"/>
    </row>
    <row r="958">
      <c r="E958" s="82"/>
    </row>
    <row r="959">
      <c r="E959" s="82"/>
    </row>
    <row r="960">
      <c r="E960" s="82"/>
    </row>
    <row r="961">
      <c r="E961" s="82"/>
    </row>
    <row r="962">
      <c r="E962" s="82"/>
    </row>
    <row r="963">
      <c r="E963" s="82"/>
    </row>
    <row r="964">
      <c r="E964" s="82"/>
    </row>
    <row r="965">
      <c r="E965" s="82"/>
    </row>
    <row r="966">
      <c r="E966" s="82"/>
    </row>
    <row r="967">
      <c r="E967" s="82"/>
    </row>
    <row r="968">
      <c r="E968" s="82"/>
    </row>
    <row r="969">
      <c r="E969" s="82"/>
    </row>
    <row r="970">
      <c r="E970" s="82"/>
    </row>
    <row r="971">
      <c r="E971" s="82"/>
    </row>
    <row r="972">
      <c r="E972" s="82"/>
    </row>
    <row r="973">
      <c r="E973" s="82"/>
    </row>
    <row r="974">
      <c r="E974" s="82"/>
    </row>
    <row r="975">
      <c r="E975" s="82"/>
    </row>
    <row r="976">
      <c r="E976" s="82"/>
    </row>
    <row r="977">
      <c r="E977" s="82"/>
    </row>
    <row r="978">
      <c r="E978" s="82"/>
    </row>
    <row r="979">
      <c r="E979" s="82"/>
    </row>
    <row r="980">
      <c r="E980" s="82"/>
    </row>
    <row r="981">
      <c r="E981" s="82"/>
    </row>
    <row r="982">
      <c r="E982" s="82"/>
    </row>
    <row r="983">
      <c r="E983" s="82"/>
    </row>
    <row r="984">
      <c r="E984" s="82"/>
    </row>
    <row r="985">
      <c r="E985" s="82"/>
    </row>
    <row r="986">
      <c r="E986" s="82"/>
    </row>
    <row r="987">
      <c r="E987" s="82"/>
    </row>
    <row r="988">
      <c r="E988" s="82"/>
    </row>
    <row r="989">
      <c r="E989" s="82"/>
    </row>
    <row r="990">
      <c r="E990" s="82"/>
    </row>
    <row r="991">
      <c r="E991" s="82"/>
    </row>
    <row r="992">
      <c r="E992" s="82"/>
    </row>
    <row r="993">
      <c r="E993" s="82"/>
    </row>
    <row r="994">
      <c r="E994" s="82"/>
    </row>
    <row r="995">
      <c r="E995" s="82"/>
    </row>
    <row r="996">
      <c r="E996" s="82"/>
    </row>
    <row r="997">
      <c r="E997" s="82"/>
    </row>
    <row r="998">
      <c r="E998" s="82"/>
    </row>
    <row r="999">
      <c r="E999" s="82"/>
    </row>
    <row r="1000">
      <c r="E1000" s="82"/>
    </row>
    <row r="1001">
      <c r="E1001" s="82"/>
    </row>
    <row r="1002">
      <c r="E1002" s="82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9.5"/>
    <col customWidth="1" min="5" max="5" width="18.63"/>
  </cols>
  <sheetData>
    <row r="1">
      <c r="A1" s="1" t="s">
        <v>647</v>
      </c>
      <c r="B1" s="80">
        <f>COUNTIF(A3:A1002,"*L4*")</f>
        <v>0</v>
      </c>
      <c r="C1" s="1"/>
      <c r="D1" s="81">
        <f>MAIN!C2</f>
        <v>46154</v>
      </c>
      <c r="E1" s="82"/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8" t="str">
        <f>IFERROR(__xludf.DUMMYFUNCTION("QUERY(Master!A2:B1002, ""SELECT A, B WHERE A STARTS WITH 'L4-004'"", 0)"),"#N/A")</f>
        <v>#N/A</v>
      </c>
      <c r="B3" s="8"/>
      <c r="C3" s="4" t="str">
        <f t="array" ref="C3">XLOOKUP(A3,DB!C:C,DB!K:K)</f>
        <v>#N/A</v>
      </c>
      <c r="D3" s="4" t="str">
        <f t="array" ref="D3">XLOOKUP(A3,DB!C:C,DB!B:B)</f>
        <v>#N/A</v>
      </c>
      <c r="E3" s="82" t="str">
        <f t="array" ref="E3">XLOOKUP(A3,DB!C:C,DB!F:F,"" )</f>
        <v>#N/A</v>
      </c>
    </row>
    <row r="4">
      <c r="A4" s="6"/>
      <c r="B4" s="6"/>
      <c r="C4" s="4" t="str">
        <f t="array" ref="C4">XLOOKUP(A4,DB!C:C,DB!K:K)</f>
        <v>#N/A</v>
      </c>
      <c r="D4" s="4" t="str">
        <f t="array" ref="D4">XLOOKUP(A4,DB!C:C,DB!B:B)</f>
        <v>#N/A</v>
      </c>
      <c r="E4" s="82" t="str">
        <f t="array" ref="E4">XLOOKUP(A4,DB!C:C,DB!F:F,"" )</f>
        <v/>
      </c>
    </row>
    <row r="5">
      <c r="A5" s="4"/>
      <c r="C5" s="4" t="str">
        <f t="array" ref="C5">XLOOKUP(A5,DB!C:C,DB!K:K)</f>
        <v>#N/A</v>
      </c>
      <c r="D5" s="4" t="str">
        <f t="array" ref="D5">XLOOKUP(A5,DB!C:C,DB!B:B)</f>
        <v>#N/A</v>
      </c>
      <c r="E5" s="82" t="str">
        <f t="array" ref="E5">XLOOKUP(A5,DB!C:C,DB!F:F,"" )</f>
        <v/>
      </c>
    </row>
    <row r="6">
      <c r="A6" s="4"/>
      <c r="C6" s="4" t="str">
        <f t="array" ref="C6">XLOOKUP(A6,DB!C:C,DB!K:K)</f>
        <v>#N/A</v>
      </c>
      <c r="D6" s="4" t="str">
        <f t="array" ref="D6">XLOOKUP(A6,DB!C:C,DB!B:B)</f>
        <v>#N/A</v>
      </c>
      <c r="E6" s="82" t="str">
        <f t="array" ref="E6">XLOOKUP(A6,DB!C:C,DB!F:F,"" )</f>
        <v/>
      </c>
    </row>
    <row r="7">
      <c r="A7" s="4"/>
      <c r="C7" s="4" t="str">
        <f t="array" ref="C7">XLOOKUP(A7,DB!C:C,DB!K:K)</f>
        <v>#N/A</v>
      </c>
      <c r="D7" s="4" t="str">
        <f t="array" ref="D7">XLOOKUP(A7,DB!C:C,DB!B:B)</f>
        <v>#N/A</v>
      </c>
      <c r="E7" s="82" t="str">
        <f t="array" ref="E7">XLOOKUP(A7,DB!C:C,DB!F:F,"" )</f>
        <v/>
      </c>
    </row>
    <row r="8">
      <c r="A8" s="4"/>
      <c r="C8" s="4" t="str">
        <f t="array" ref="C8">XLOOKUP(A8,DB!C:C,DB!K:K)</f>
        <v>#N/A</v>
      </c>
      <c r="D8" s="4" t="str">
        <f t="array" ref="D8">XLOOKUP(A8,DB!C:C,DB!B:B)</f>
        <v>#N/A</v>
      </c>
      <c r="E8" s="82" t="str">
        <f t="array" ref="E8">XLOOKUP(A8,DB!C:C,DB!F:F,"" )</f>
        <v/>
      </c>
    </row>
    <row r="9">
      <c r="A9" s="4"/>
      <c r="C9" s="4" t="str">
        <f t="array" ref="C9">XLOOKUP(A9,DB!C:C,DB!K:K)</f>
        <v>#N/A</v>
      </c>
      <c r="D9" s="4" t="str">
        <f t="array" ref="D9">XLOOKUP(A9,DB!C:C,DB!B:B)</f>
        <v>#N/A</v>
      </c>
      <c r="E9" s="82" t="str">
        <f t="array" ref="E9">XLOOKUP(A9,DB!C:C,DB!F:F,"" )</f>
        <v/>
      </c>
    </row>
    <row r="10">
      <c r="A10" s="4"/>
      <c r="C10" s="4" t="str">
        <f t="array" ref="C10">XLOOKUP(A10,DB!C:C,DB!K:K)</f>
        <v>#N/A</v>
      </c>
      <c r="D10" s="4" t="str">
        <f t="array" ref="D10">XLOOKUP(A10,DB!C:C,DB!B:B)</f>
        <v>#N/A</v>
      </c>
      <c r="E10" s="82" t="str">
        <f t="array" ref="E10">XLOOKUP(A10,DB!C:C,DB!F:F,"" )</f>
        <v/>
      </c>
    </row>
    <row r="11">
      <c r="A11" s="4"/>
      <c r="C11" s="4" t="str">
        <f t="array" ref="C11">XLOOKUP(A11,DB!C:C,DB!K:K)</f>
        <v>#N/A</v>
      </c>
      <c r="D11" s="4" t="str">
        <f t="array" ref="D11">XLOOKUP(A11,DB!C:C,DB!B:B)</f>
        <v>#N/A</v>
      </c>
      <c r="E11" s="82" t="str">
        <f t="array" ref="E11">XLOOKUP(A11,DB!C:C,DB!F:F,"" )</f>
        <v/>
      </c>
    </row>
    <row r="12">
      <c r="A12" s="4"/>
      <c r="C12" s="4" t="str">
        <f t="array" ref="C12">XLOOKUP(A12,DB!C:C,DB!K:K)</f>
        <v>#N/A</v>
      </c>
      <c r="D12" s="4" t="str">
        <f t="array" ref="D12">XLOOKUP(A12,DB!C:C,DB!B:B)</f>
        <v>#N/A</v>
      </c>
      <c r="E12" s="82" t="str">
        <f t="array" ref="E12">XLOOKUP(A12,DB!C:C,DB!F:F,"" )</f>
        <v/>
      </c>
    </row>
    <row r="13">
      <c r="A13" s="4"/>
      <c r="E13" s="82"/>
    </row>
    <row r="14">
      <c r="A14" s="4"/>
      <c r="E14" s="82"/>
    </row>
    <row r="15">
      <c r="A15" s="4"/>
      <c r="E15" s="82"/>
    </row>
    <row r="16">
      <c r="A16" s="4"/>
      <c r="E16" s="82"/>
    </row>
    <row r="17">
      <c r="A17" s="4"/>
      <c r="E17" s="82"/>
    </row>
    <row r="18">
      <c r="A18" s="4"/>
      <c r="E18" s="82"/>
    </row>
    <row r="19">
      <c r="A19" s="4"/>
      <c r="E19" s="82"/>
    </row>
    <row r="20">
      <c r="A20" s="4"/>
      <c r="E20" s="82"/>
    </row>
    <row r="21">
      <c r="A21" s="4"/>
      <c r="E21" s="82"/>
    </row>
    <row r="22">
      <c r="A22" s="4"/>
      <c r="E22" s="82"/>
    </row>
    <row r="23">
      <c r="A23" s="4"/>
      <c r="E23" s="82"/>
    </row>
    <row r="24">
      <c r="A24" s="4"/>
      <c r="E24" s="82"/>
    </row>
    <row r="25">
      <c r="A25" s="4"/>
      <c r="E25" s="82"/>
    </row>
    <row r="26">
      <c r="A26" s="4"/>
      <c r="E26" s="82"/>
    </row>
    <row r="27">
      <c r="A27" s="4"/>
      <c r="E27" s="82"/>
    </row>
    <row r="28">
      <c r="A28" s="4"/>
      <c r="E28" s="82"/>
    </row>
    <row r="29">
      <c r="A29" s="4"/>
      <c r="E29" s="82"/>
    </row>
    <row r="30">
      <c r="A30" s="4"/>
      <c r="E30" s="82"/>
    </row>
    <row r="31">
      <c r="A31" s="4"/>
      <c r="E31" s="82"/>
    </row>
    <row r="32">
      <c r="A32" s="4"/>
      <c r="E32" s="82"/>
    </row>
    <row r="33">
      <c r="A33" s="4"/>
      <c r="E33" s="82"/>
    </row>
    <row r="34">
      <c r="A34" s="4"/>
      <c r="E34" s="82"/>
    </row>
    <row r="35">
      <c r="A35" s="4"/>
      <c r="E35" s="82"/>
    </row>
    <row r="36">
      <c r="A36" s="4"/>
      <c r="E36" s="82"/>
    </row>
    <row r="37">
      <c r="A37" s="4"/>
      <c r="E37" s="82"/>
    </row>
    <row r="38">
      <c r="A38" s="4"/>
      <c r="E38" s="82"/>
    </row>
    <row r="39">
      <c r="A39" s="4"/>
      <c r="E39" s="82"/>
    </row>
    <row r="40">
      <c r="A40" s="4"/>
      <c r="E40" s="82"/>
    </row>
    <row r="41">
      <c r="A41" s="4"/>
      <c r="E41" s="82"/>
    </row>
    <row r="42">
      <c r="A42" s="4"/>
      <c r="E42" s="82"/>
    </row>
    <row r="43">
      <c r="A43" s="4"/>
      <c r="E43" s="82"/>
    </row>
    <row r="44">
      <c r="A44" s="4"/>
      <c r="E44" s="82"/>
    </row>
    <row r="45">
      <c r="A45" s="4"/>
      <c r="E45" s="82"/>
    </row>
    <row r="46">
      <c r="A46" s="4"/>
      <c r="E46" s="82"/>
    </row>
    <row r="47">
      <c r="A47" s="4"/>
      <c r="E47" s="82"/>
    </row>
    <row r="48">
      <c r="A48" s="4"/>
      <c r="E48" s="82"/>
    </row>
    <row r="49">
      <c r="A49" s="4"/>
      <c r="E49" s="82"/>
    </row>
    <row r="50">
      <c r="A50" s="4"/>
      <c r="E50" s="82"/>
    </row>
    <row r="51">
      <c r="A51" s="4"/>
      <c r="E51" s="82"/>
    </row>
    <row r="52">
      <c r="A52" s="4"/>
      <c r="E52" s="82"/>
    </row>
    <row r="53">
      <c r="A53" s="4"/>
      <c r="E53" s="82"/>
    </row>
    <row r="54">
      <c r="A54" s="4"/>
      <c r="E54" s="82"/>
    </row>
    <row r="55">
      <c r="A55" s="4"/>
      <c r="E55" s="82"/>
    </row>
    <row r="56">
      <c r="A56" s="4"/>
      <c r="E56" s="82"/>
    </row>
    <row r="57">
      <c r="A57" s="4"/>
      <c r="E57" s="82"/>
    </row>
    <row r="58">
      <c r="A58" s="4"/>
      <c r="E58" s="82"/>
    </row>
    <row r="59">
      <c r="A59" s="4"/>
      <c r="E59" s="82"/>
    </row>
    <row r="60">
      <c r="A60" s="4"/>
      <c r="E60" s="82"/>
    </row>
    <row r="61">
      <c r="A61" s="4"/>
      <c r="E61" s="82"/>
    </row>
    <row r="62">
      <c r="A62" s="4"/>
      <c r="E62" s="82"/>
    </row>
    <row r="63">
      <c r="A63" s="4"/>
      <c r="E63" s="82"/>
    </row>
    <row r="64">
      <c r="A64" s="4"/>
      <c r="E64" s="82"/>
    </row>
    <row r="65">
      <c r="A65" s="4"/>
      <c r="E65" s="82"/>
    </row>
    <row r="66">
      <c r="A66" s="4"/>
      <c r="E66" s="82"/>
    </row>
    <row r="67">
      <c r="A67" s="4"/>
      <c r="E67" s="82"/>
    </row>
    <row r="68">
      <c r="A68" s="4"/>
      <c r="E68" s="82"/>
    </row>
    <row r="69">
      <c r="A69" s="4"/>
      <c r="E69" s="82"/>
    </row>
    <row r="70">
      <c r="A70" s="4"/>
      <c r="E70" s="82"/>
    </row>
    <row r="71">
      <c r="A71" s="4"/>
      <c r="E71" s="82"/>
    </row>
    <row r="72">
      <c r="A72" s="4"/>
      <c r="E72" s="82"/>
    </row>
    <row r="73">
      <c r="A73" s="4"/>
      <c r="E73" s="82"/>
    </row>
    <row r="74">
      <c r="A74" s="4"/>
      <c r="E74" s="82"/>
    </row>
    <row r="75">
      <c r="A75" s="4"/>
      <c r="E75" s="82"/>
    </row>
    <row r="76">
      <c r="A76" s="4"/>
      <c r="E76" s="82"/>
    </row>
    <row r="77">
      <c r="A77" s="4"/>
      <c r="E77" s="82"/>
    </row>
    <row r="78">
      <c r="A78" s="4"/>
      <c r="E78" s="82"/>
    </row>
    <row r="79">
      <c r="A79" s="4"/>
      <c r="E79" s="82"/>
    </row>
    <row r="80">
      <c r="A80" s="4"/>
      <c r="E80" s="82"/>
    </row>
    <row r="81">
      <c r="A81" s="4"/>
      <c r="E81" s="82"/>
    </row>
    <row r="82">
      <c r="A82" s="4"/>
      <c r="E82" s="82"/>
    </row>
    <row r="83">
      <c r="A83" s="4"/>
      <c r="E83" s="82"/>
    </row>
    <row r="84">
      <c r="A84" s="4"/>
      <c r="E84" s="82"/>
    </row>
    <row r="85">
      <c r="A85" s="4"/>
      <c r="E85" s="82"/>
    </row>
    <row r="86">
      <c r="A86" s="4"/>
      <c r="E86" s="82"/>
    </row>
    <row r="87">
      <c r="A87" s="4"/>
      <c r="E87" s="82"/>
    </row>
    <row r="88">
      <c r="A88" s="4"/>
      <c r="E88" s="82"/>
    </row>
    <row r="89">
      <c r="A89" s="4"/>
      <c r="E89" s="82"/>
    </row>
    <row r="90">
      <c r="A90" s="4"/>
      <c r="E90" s="82"/>
    </row>
    <row r="91">
      <c r="A91" s="4"/>
      <c r="E91" s="82"/>
    </row>
    <row r="92">
      <c r="A92" s="4"/>
      <c r="E92" s="82"/>
    </row>
    <row r="93">
      <c r="A93" s="4"/>
      <c r="E93" s="82"/>
    </row>
    <row r="94">
      <c r="A94" s="4"/>
      <c r="E94" s="82"/>
    </row>
    <row r="95">
      <c r="A95" s="4"/>
      <c r="E95" s="82"/>
    </row>
    <row r="96">
      <c r="A96" s="4"/>
      <c r="E96" s="82"/>
    </row>
    <row r="97">
      <c r="A97" s="4"/>
      <c r="E97" s="82"/>
    </row>
    <row r="98">
      <c r="A98" s="4"/>
      <c r="E98" s="82"/>
    </row>
    <row r="99">
      <c r="A99" s="4"/>
      <c r="E99" s="82"/>
    </row>
    <row r="100">
      <c r="A100" s="4"/>
      <c r="E100" s="82"/>
    </row>
    <row r="101">
      <c r="A101" s="4"/>
      <c r="E101" s="82"/>
    </row>
    <row r="102">
      <c r="A102" s="4"/>
      <c r="E102" s="82"/>
    </row>
    <row r="103">
      <c r="A103" s="4"/>
      <c r="E103" s="82"/>
    </row>
    <row r="104">
      <c r="A104" s="4"/>
      <c r="E104" s="82"/>
    </row>
    <row r="105">
      <c r="A105" s="4"/>
      <c r="E105" s="82"/>
    </row>
    <row r="106">
      <c r="A106" s="4"/>
      <c r="E106" s="82"/>
    </row>
    <row r="107">
      <c r="A107" s="4"/>
      <c r="E107" s="82"/>
    </row>
    <row r="108">
      <c r="A108" s="4"/>
      <c r="E108" s="82"/>
    </row>
    <row r="109">
      <c r="A109" s="4"/>
      <c r="E109" s="82"/>
    </row>
    <row r="110">
      <c r="A110" s="4"/>
      <c r="E110" s="82"/>
    </row>
    <row r="111">
      <c r="A111" s="4"/>
      <c r="E111" s="82"/>
    </row>
    <row r="112">
      <c r="A112" s="4"/>
      <c r="E112" s="82"/>
    </row>
    <row r="113">
      <c r="A113" s="4"/>
      <c r="E113" s="82"/>
    </row>
    <row r="114">
      <c r="A114" s="4"/>
      <c r="E114" s="82"/>
    </row>
    <row r="115">
      <c r="A115" s="4"/>
      <c r="E115" s="82"/>
    </row>
    <row r="116">
      <c r="A116" s="4"/>
      <c r="E116" s="82"/>
    </row>
    <row r="117">
      <c r="A117" s="4"/>
      <c r="E117" s="82"/>
    </row>
    <row r="118">
      <c r="A118" s="4"/>
      <c r="E118" s="82"/>
    </row>
    <row r="119">
      <c r="A119" s="4"/>
      <c r="E119" s="82"/>
    </row>
    <row r="120">
      <c r="A120" s="4"/>
      <c r="E120" s="82"/>
    </row>
    <row r="121">
      <c r="A121" s="4"/>
      <c r="E121" s="82"/>
    </row>
    <row r="122">
      <c r="A122" s="4"/>
      <c r="E122" s="82"/>
    </row>
    <row r="123">
      <c r="A123" s="4"/>
      <c r="E123" s="82"/>
    </row>
    <row r="124">
      <c r="A124" s="4"/>
      <c r="E124" s="82"/>
    </row>
    <row r="125">
      <c r="A125" s="4"/>
      <c r="E125" s="82"/>
    </row>
    <row r="126">
      <c r="A126" s="4"/>
      <c r="E126" s="82"/>
    </row>
    <row r="127">
      <c r="A127" s="4"/>
      <c r="E127" s="82"/>
    </row>
    <row r="128">
      <c r="A128" s="4"/>
      <c r="E128" s="82"/>
    </row>
    <row r="129">
      <c r="A129" s="4"/>
      <c r="E129" s="82"/>
    </row>
    <row r="130">
      <c r="A130" s="4"/>
      <c r="E130" s="82"/>
    </row>
    <row r="131">
      <c r="A131" s="4"/>
      <c r="E131" s="82"/>
    </row>
    <row r="132">
      <c r="A132" s="4"/>
      <c r="E132" s="82"/>
    </row>
    <row r="133">
      <c r="A133" s="4"/>
      <c r="E133" s="82"/>
    </row>
    <row r="134">
      <c r="A134" s="4"/>
      <c r="E134" s="82"/>
    </row>
    <row r="135">
      <c r="A135" s="4"/>
      <c r="E135" s="82"/>
    </row>
    <row r="136">
      <c r="A136" s="4"/>
      <c r="E136" s="82"/>
    </row>
    <row r="137">
      <c r="A137" s="4"/>
      <c r="E137" s="82"/>
    </row>
    <row r="138">
      <c r="A138" s="4"/>
      <c r="E138" s="82"/>
    </row>
    <row r="139">
      <c r="A139" s="4"/>
      <c r="E139" s="82"/>
    </row>
    <row r="140">
      <c r="A140" s="4"/>
      <c r="E140" s="82"/>
    </row>
    <row r="141">
      <c r="A141" s="4"/>
      <c r="E141" s="82"/>
    </row>
    <row r="142">
      <c r="A142" s="4"/>
      <c r="E142" s="82"/>
    </row>
    <row r="143">
      <c r="A143" s="4"/>
      <c r="E143" s="82"/>
    </row>
    <row r="144">
      <c r="A144" s="4"/>
      <c r="E144" s="82"/>
    </row>
    <row r="145">
      <c r="A145" s="4"/>
      <c r="E145" s="82"/>
    </row>
    <row r="146">
      <c r="A146" s="4"/>
      <c r="E146" s="82"/>
    </row>
    <row r="147">
      <c r="A147" s="4"/>
      <c r="E147" s="82"/>
    </row>
    <row r="148">
      <c r="A148" s="4"/>
      <c r="E148" s="82"/>
    </row>
    <row r="149">
      <c r="A149" s="4"/>
      <c r="E149" s="82"/>
    </row>
    <row r="150">
      <c r="A150" s="4"/>
      <c r="E150" s="82"/>
    </row>
    <row r="151">
      <c r="A151" s="4"/>
      <c r="E151" s="82"/>
    </row>
    <row r="152">
      <c r="A152" s="4"/>
      <c r="E152" s="82"/>
    </row>
    <row r="153">
      <c r="A153" s="4"/>
      <c r="E153" s="82"/>
    </row>
    <row r="154">
      <c r="A154" s="4"/>
      <c r="E154" s="82"/>
    </row>
    <row r="155">
      <c r="A155" s="4"/>
      <c r="E155" s="82"/>
    </row>
    <row r="156">
      <c r="A156" s="4"/>
      <c r="E156" s="82"/>
    </row>
    <row r="157">
      <c r="A157" s="4"/>
      <c r="E157" s="82"/>
    </row>
    <row r="158">
      <c r="A158" s="4"/>
      <c r="E158" s="82"/>
    </row>
    <row r="159">
      <c r="A159" s="4"/>
      <c r="E159" s="82"/>
    </row>
    <row r="160">
      <c r="A160" s="4"/>
      <c r="E160" s="82"/>
    </row>
    <row r="161">
      <c r="A161" s="4"/>
      <c r="E161" s="82"/>
    </row>
    <row r="162">
      <c r="A162" s="4"/>
      <c r="E162" s="82"/>
    </row>
    <row r="163">
      <c r="A163" s="4"/>
      <c r="E163" s="82"/>
    </row>
    <row r="164">
      <c r="A164" s="4"/>
      <c r="E164" s="82"/>
    </row>
    <row r="165">
      <c r="A165" s="4"/>
      <c r="E165" s="82"/>
    </row>
    <row r="166">
      <c r="A166" s="4"/>
      <c r="E166" s="82"/>
    </row>
    <row r="167">
      <c r="A167" s="4"/>
      <c r="E167" s="82"/>
    </row>
    <row r="168">
      <c r="A168" s="4"/>
      <c r="E168" s="82"/>
    </row>
    <row r="169">
      <c r="A169" s="4"/>
      <c r="E169" s="82"/>
    </row>
    <row r="170">
      <c r="A170" s="4"/>
      <c r="E170" s="82"/>
    </row>
    <row r="171">
      <c r="A171" s="4"/>
      <c r="E171" s="82"/>
    </row>
    <row r="172">
      <c r="A172" s="4"/>
      <c r="E172" s="82"/>
    </row>
    <row r="173">
      <c r="A173" s="4"/>
      <c r="E173" s="82"/>
    </row>
    <row r="174">
      <c r="A174" s="4"/>
      <c r="E174" s="82"/>
    </row>
    <row r="175">
      <c r="A175" s="4"/>
      <c r="E175" s="82"/>
    </row>
    <row r="176">
      <c r="A176" s="4"/>
      <c r="E176" s="82"/>
    </row>
    <row r="177">
      <c r="A177" s="4"/>
      <c r="E177" s="82"/>
    </row>
    <row r="178">
      <c r="A178" s="4"/>
      <c r="E178" s="82"/>
    </row>
    <row r="179">
      <c r="A179" s="4"/>
      <c r="E179" s="82"/>
    </row>
    <row r="180">
      <c r="A180" s="4"/>
      <c r="E180" s="82"/>
    </row>
    <row r="181">
      <c r="A181" s="4"/>
      <c r="E181" s="82"/>
    </row>
    <row r="182">
      <c r="A182" s="4"/>
      <c r="E182" s="82"/>
    </row>
    <row r="183">
      <c r="A183" s="4"/>
      <c r="E183" s="82"/>
    </row>
    <row r="184">
      <c r="A184" s="4"/>
      <c r="E184" s="82"/>
    </row>
    <row r="185">
      <c r="A185" s="4"/>
      <c r="E185" s="82"/>
    </row>
    <row r="186">
      <c r="A186" s="4"/>
      <c r="E186" s="82"/>
    </row>
    <row r="187">
      <c r="A187" s="4"/>
      <c r="E187" s="82"/>
    </row>
    <row r="188">
      <c r="A188" s="4"/>
      <c r="E188" s="82"/>
    </row>
    <row r="189">
      <c r="A189" s="4"/>
      <c r="E189" s="82"/>
    </row>
    <row r="190">
      <c r="A190" s="4"/>
      <c r="E190" s="82"/>
    </row>
    <row r="191">
      <c r="A191" s="4"/>
      <c r="E191" s="82"/>
    </row>
    <row r="192">
      <c r="A192" s="4"/>
      <c r="E192" s="82"/>
    </row>
    <row r="193">
      <c r="A193" s="4"/>
      <c r="E193" s="82"/>
    </row>
    <row r="194">
      <c r="A194" s="4"/>
      <c r="E194" s="82"/>
    </row>
    <row r="195">
      <c r="A195" s="4"/>
      <c r="E195" s="82"/>
    </row>
    <row r="196">
      <c r="A196" s="4"/>
      <c r="E196" s="82"/>
    </row>
    <row r="197">
      <c r="A197" s="4"/>
      <c r="E197" s="82"/>
    </row>
    <row r="198">
      <c r="A198" s="4"/>
      <c r="E198" s="82"/>
    </row>
    <row r="199">
      <c r="A199" s="4"/>
      <c r="E199" s="82"/>
    </row>
    <row r="200">
      <c r="A200" s="4"/>
      <c r="E200" s="82"/>
    </row>
    <row r="201">
      <c r="A201" s="4"/>
      <c r="E201" s="82"/>
    </row>
    <row r="202">
      <c r="A202" s="4"/>
      <c r="E202" s="82"/>
    </row>
    <row r="203">
      <c r="A203" s="4"/>
      <c r="E203" s="82"/>
    </row>
    <row r="204">
      <c r="A204" s="4"/>
      <c r="E204" s="82"/>
    </row>
    <row r="205">
      <c r="A205" s="4"/>
      <c r="E205" s="82"/>
    </row>
    <row r="206">
      <c r="A206" s="4"/>
      <c r="E206" s="82"/>
    </row>
    <row r="207">
      <c r="A207" s="4"/>
      <c r="E207" s="82"/>
    </row>
    <row r="208">
      <c r="A208" s="4"/>
      <c r="E208" s="82"/>
    </row>
    <row r="209">
      <c r="A209" s="4"/>
      <c r="E209" s="82"/>
    </row>
    <row r="210">
      <c r="A210" s="4"/>
      <c r="E210" s="82"/>
    </row>
    <row r="211">
      <c r="A211" s="4"/>
      <c r="E211" s="82"/>
    </row>
    <row r="212">
      <c r="A212" s="4"/>
      <c r="E212" s="82"/>
    </row>
    <row r="213">
      <c r="A213" s="4"/>
      <c r="E213" s="82"/>
    </row>
    <row r="214">
      <c r="A214" s="4"/>
      <c r="E214" s="82"/>
    </row>
    <row r="215">
      <c r="A215" s="4"/>
      <c r="E215" s="82"/>
    </row>
    <row r="216">
      <c r="A216" s="4"/>
      <c r="E216" s="82"/>
    </row>
    <row r="217">
      <c r="A217" s="4"/>
      <c r="E217" s="82"/>
    </row>
    <row r="218">
      <c r="A218" s="4"/>
      <c r="E218" s="82"/>
    </row>
    <row r="219">
      <c r="A219" s="4"/>
      <c r="E219" s="82"/>
    </row>
    <row r="220">
      <c r="A220" s="4"/>
      <c r="E220" s="82"/>
    </row>
    <row r="221">
      <c r="A221" s="4"/>
      <c r="E221" s="82"/>
    </row>
    <row r="222">
      <c r="A222" s="4"/>
      <c r="E222" s="82"/>
    </row>
    <row r="223">
      <c r="A223" s="4"/>
      <c r="E223" s="82"/>
    </row>
    <row r="224">
      <c r="A224" s="4"/>
      <c r="E224" s="82"/>
    </row>
    <row r="225">
      <c r="A225" s="4"/>
      <c r="E225" s="82"/>
    </row>
    <row r="226">
      <c r="A226" s="4"/>
      <c r="E226" s="82"/>
    </row>
    <row r="227">
      <c r="A227" s="4"/>
      <c r="E227" s="82"/>
    </row>
    <row r="228">
      <c r="A228" s="4"/>
      <c r="E228" s="82"/>
    </row>
    <row r="229">
      <c r="A229" s="4"/>
      <c r="E229" s="82"/>
    </row>
    <row r="230">
      <c r="A230" s="4"/>
      <c r="E230" s="82"/>
    </row>
    <row r="231">
      <c r="A231" s="4"/>
      <c r="E231" s="82"/>
    </row>
    <row r="232">
      <c r="A232" s="4"/>
      <c r="E232" s="82"/>
    </row>
    <row r="233">
      <c r="A233" s="4"/>
      <c r="E233" s="82"/>
    </row>
    <row r="234">
      <c r="A234" s="4"/>
      <c r="E234" s="82"/>
    </row>
    <row r="235">
      <c r="A235" s="4"/>
      <c r="E235" s="82"/>
    </row>
    <row r="236">
      <c r="A236" s="4"/>
      <c r="E236" s="82"/>
    </row>
    <row r="237">
      <c r="A237" s="4"/>
      <c r="E237" s="82"/>
    </row>
    <row r="238">
      <c r="A238" s="4"/>
      <c r="E238" s="82"/>
    </row>
    <row r="239">
      <c r="A239" s="4"/>
      <c r="E239" s="82"/>
    </row>
    <row r="240">
      <c r="A240" s="4"/>
      <c r="E240" s="82"/>
    </row>
    <row r="241">
      <c r="A241" s="4"/>
      <c r="E241" s="82"/>
    </row>
    <row r="242">
      <c r="A242" s="4"/>
      <c r="E242" s="82"/>
    </row>
    <row r="243">
      <c r="A243" s="4"/>
      <c r="E243" s="82"/>
    </row>
    <row r="244">
      <c r="A244" s="4"/>
      <c r="E244" s="82"/>
    </row>
    <row r="245">
      <c r="A245" s="4"/>
      <c r="E245" s="82"/>
    </row>
    <row r="246">
      <c r="A246" s="4"/>
      <c r="E246" s="82"/>
    </row>
    <row r="247">
      <c r="A247" s="4"/>
      <c r="E247" s="82"/>
    </row>
    <row r="248">
      <c r="A248" s="4"/>
      <c r="E248" s="82"/>
    </row>
    <row r="249">
      <c r="A249" s="4"/>
      <c r="E249" s="82"/>
    </row>
    <row r="250">
      <c r="A250" s="4"/>
      <c r="E250" s="82"/>
    </row>
    <row r="251">
      <c r="A251" s="4"/>
      <c r="E251" s="82"/>
    </row>
    <row r="252">
      <c r="A252" s="4"/>
      <c r="E252" s="82"/>
    </row>
    <row r="253">
      <c r="A253" s="4"/>
      <c r="E253" s="82"/>
    </row>
    <row r="254">
      <c r="A254" s="4"/>
      <c r="E254" s="82"/>
    </row>
    <row r="255">
      <c r="A255" s="4"/>
      <c r="E255" s="82"/>
    </row>
    <row r="256">
      <c r="A256" s="4"/>
      <c r="E256" s="82"/>
    </row>
    <row r="257">
      <c r="A257" s="4"/>
      <c r="E257" s="82"/>
    </row>
    <row r="258">
      <c r="A258" s="4"/>
      <c r="E258" s="82"/>
    </row>
    <row r="259">
      <c r="A259" s="4"/>
      <c r="E259" s="82"/>
    </row>
    <row r="260">
      <c r="A260" s="4"/>
      <c r="E260" s="82"/>
    </row>
    <row r="261">
      <c r="A261" s="4"/>
      <c r="E261" s="82"/>
    </row>
    <row r="262">
      <c r="A262" s="4"/>
      <c r="E262" s="82"/>
    </row>
    <row r="263">
      <c r="A263" s="4"/>
      <c r="E263" s="82"/>
    </row>
    <row r="264">
      <c r="A264" s="4"/>
      <c r="E264" s="82"/>
    </row>
    <row r="265">
      <c r="A265" s="4"/>
      <c r="E265" s="82"/>
    </row>
    <row r="266">
      <c r="A266" s="4"/>
      <c r="E266" s="82"/>
    </row>
    <row r="267">
      <c r="A267" s="4"/>
      <c r="E267" s="82"/>
    </row>
    <row r="268">
      <c r="A268" s="4"/>
      <c r="E268" s="82"/>
    </row>
    <row r="269">
      <c r="A269" s="4"/>
      <c r="E269" s="82"/>
    </row>
    <row r="270">
      <c r="A270" s="4"/>
      <c r="E270" s="82"/>
    </row>
    <row r="271">
      <c r="A271" s="4"/>
      <c r="E271" s="82"/>
    </row>
    <row r="272">
      <c r="A272" s="4"/>
      <c r="E272" s="82"/>
    </row>
    <row r="273">
      <c r="A273" s="4"/>
      <c r="E273" s="82"/>
    </row>
    <row r="274">
      <c r="A274" s="4"/>
      <c r="E274" s="82"/>
    </row>
    <row r="275">
      <c r="A275" s="4"/>
      <c r="E275" s="82"/>
    </row>
    <row r="276">
      <c r="A276" s="4"/>
      <c r="E276" s="82"/>
    </row>
    <row r="277">
      <c r="A277" s="4"/>
      <c r="E277" s="82"/>
    </row>
    <row r="278">
      <c r="A278" s="4"/>
      <c r="E278" s="82"/>
    </row>
    <row r="279">
      <c r="A279" s="4"/>
      <c r="E279" s="82"/>
    </row>
    <row r="280">
      <c r="A280" s="4"/>
      <c r="E280" s="82"/>
    </row>
    <row r="281">
      <c r="A281" s="4"/>
      <c r="E281" s="82"/>
    </row>
    <row r="282">
      <c r="A282" s="4"/>
      <c r="E282" s="82"/>
    </row>
    <row r="283">
      <c r="A283" s="4"/>
      <c r="E283" s="82"/>
    </row>
    <row r="284">
      <c r="A284" s="4"/>
      <c r="E284" s="82"/>
    </row>
    <row r="285">
      <c r="A285" s="4"/>
      <c r="E285" s="82"/>
    </row>
    <row r="286">
      <c r="A286" s="4"/>
      <c r="E286" s="82"/>
    </row>
    <row r="287">
      <c r="A287" s="4"/>
      <c r="E287" s="82"/>
    </row>
    <row r="288">
      <c r="A288" s="4"/>
      <c r="E288" s="82"/>
    </row>
    <row r="289">
      <c r="A289" s="4"/>
      <c r="E289" s="82"/>
    </row>
    <row r="290">
      <c r="A290" s="4"/>
      <c r="E290" s="82"/>
    </row>
    <row r="291">
      <c r="A291" s="4"/>
      <c r="E291" s="82"/>
    </row>
    <row r="292">
      <c r="A292" s="4"/>
      <c r="E292" s="82"/>
    </row>
    <row r="293">
      <c r="A293" s="4"/>
      <c r="E293" s="82"/>
    </row>
    <row r="294">
      <c r="A294" s="4"/>
      <c r="E294" s="82"/>
    </row>
    <row r="295">
      <c r="A295" s="4"/>
      <c r="E295" s="82"/>
    </row>
    <row r="296">
      <c r="A296" s="4"/>
      <c r="E296" s="82"/>
    </row>
    <row r="297">
      <c r="A297" s="4"/>
      <c r="E297" s="82"/>
    </row>
    <row r="298">
      <c r="A298" s="4"/>
      <c r="E298" s="82"/>
    </row>
    <row r="299">
      <c r="A299" s="4"/>
      <c r="E299" s="82"/>
    </row>
    <row r="300">
      <c r="A300" s="4"/>
      <c r="E300" s="82"/>
    </row>
    <row r="301">
      <c r="A301" s="4"/>
      <c r="E301" s="82"/>
    </row>
    <row r="302">
      <c r="A302" s="4"/>
      <c r="E302" s="82"/>
    </row>
    <row r="303">
      <c r="A303" s="4"/>
      <c r="E303" s="82"/>
    </row>
    <row r="304">
      <c r="A304" s="4"/>
      <c r="E304" s="82"/>
    </row>
    <row r="305">
      <c r="A305" s="4"/>
      <c r="E305" s="82"/>
    </row>
    <row r="306">
      <c r="A306" s="4"/>
      <c r="E306" s="82"/>
    </row>
    <row r="307">
      <c r="A307" s="4"/>
      <c r="E307" s="82"/>
    </row>
    <row r="308">
      <c r="A308" s="4"/>
      <c r="E308" s="82"/>
    </row>
    <row r="309">
      <c r="A309" s="4"/>
      <c r="E309" s="82"/>
    </row>
    <row r="310">
      <c r="A310" s="4"/>
      <c r="E310" s="82"/>
    </row>
    <row r="311">
      <c r="A311" s="4"/>
      <c r="E311" s="82"/>
    </row>
    <row r="312">
      <c r="A312" s="4"/>
      <c r="E312" s="82"/>
    </row>
    <row r="313">
      <c r="A313" s="4"/>
      <c r="E313" s="82"/>
    </row>
    <row r="314">
      <c r="A314" s="4"/>
      <c r="E314" s="82"/>
    </row>
    <row r="315">
      <c r="A315" s="4"/>
      <c r="E315" s="82"/>
    </row>
    <row r="316">
      <c r="A316" s="4"/>
      <c r="E316" s="82"/>
    </row>
    <row r="317">
      <c r="A317" s="4"/>
      <c r="E317" s="82"/>
    </row>
    <row r="318">
      <c r="A318" s="4"/>
      <c r="E318" s="82"/>
    </row>
    <row r="319">
      <c r="A319" s="4"/>
      <c r="E319" s="82"/>
    </row>
    <row r="320">
      <c r="A320" s="4"/>
      <c r="E320" s="82"/>
    </row>
    <row r="321">
      <c r="A321" s="4"/>
      <c r="E321" s="82"/>
    </row>
    <row r="322">
      <c r="A322" s="4"/>
      <c r="E322" s="82"/>
    </row>
    <row r="323">
      <c r="A323" s="4"/>
      <c r="E323" s="82"/>
    </row>
    <row r="324">
      <c r="A324" s="4"/>
      <c r="E324" s="82"/>
    </row>
    <row r="325">
      <c r="A325" s="4"/>
      <c r="E325" s="82"/>
    </row>
    <row r="326">
      <c r="A326" s="4"/>
      <c r="E326" s="82"/>
    </row>
    <row r="327">
      <c r="A327" s="4"/>
      <c r="E327" s="82"/>
    </row>
    <row r="328">
      <c r="A328" s="4"/>
      <c r="E328" s="82"/>
    </row>
    <row r="329">
      <c r="A329" s="4"/>
      <c r="E329" s="82"/>
    </row>
    <row r="330">
      <c r="A330" s="4"/>
      <c r="E330" s="82"/>
    </row>
    <row r="331">
      <c r="A331" s="4"/>
      <c r="E331" s="82"/>
    </row>
    <row r="332">
      <c r="A332" s="4"/>
      <c r="E332" s="82"/>
    </row>
    <row r="333">
      <c r="A333" s="4"/>
      <c r="E333" s="82"/>
    </row>
    <row r="334">
      <c r="A334" s="4"/>
      <c r="E334" s="82"/>
    </row>
    <row r="335">
      <c r="A335" s="4"/>
      <c r="E335" s="82"/>
    </row>
    <row r="336">
      <c r="A336" s="4"/>
      <c r="E336" s="82"/>
    </row>
    <row r="337">
      <c r="A337" s="4"/>
      <c r="E337" s="82"/>
    </row>
    <row r="338">
      <c r="A338" s="4"/>
      <c r="E338" s="82"/>
    </row>
    <row r="339">
      <c r="A339" s="4"/>
      <c r="E339" s="82"/>
    </row>
    <row r="340">
      <c r="A340" s="4"/>
      <c r="E340" s="82"/>
    </row>
    <row r="341">
      <c r="A341" s="4"/>
      <c r="E341" s="82"/>
    </row>
    <row r="342">
      <c r="A342" s="4"/>
      <c r="E342" s="82"/>
    </row>
    <row r="343">
      <c r="A343" s="4"/>
      <c r="E343" s="82"/>
    </row>
    <row r="344">
      <c r="A344" s="4"/>
      <c r="E344" s="82"/>
    </row>
    <row r="345">
      <c r="A345" s="4"/>
      <c r="E345" s="82"/>
    </row>
    <row r="346">
      <c r="A346" s="4"/>
      <c r="E346" s="82"/>
    </row>
    <row r="347">
      <c r="A347" s="4"/>
      <c r="E347" s="82"/>
    </row>
    <row r="348">
      <c r="A348" s="4"/>
      <c r="E348" s="82"/>
    </row>
    <row r="349">
      <c r="A349" s="4"/>
      <c r="E349" s="82"/>
    </row>
    <row r="350">
      <c r="A350" s="4"/>
      <c r="E350" s="82"/>
    </row>
    <row r="351">
      <c r="A351" s="4"/>
      <c r="E351" s="82"/>
    </row>
    <row r="352">
      <c r="A352" s="4"/>
      <c r="E352" s="82"/>
    </row>
    <row r="353">
      <c r="A353" s="4"/>
      <c r="E353" s="82"/>
    </row>
    <row r="354">
      <c r="A354" s="4"/>
      <c r="E354" s="82"/>
    </row>
    <row r="355">
      <c r="A355" s="4"/>
      <c r="E355" s="82"/>
    </row>
    <row r="356">
      <c r="A356" s="4"/>
      <c r="E356" s="82"/>
    </row>
    <row r="357">
      <c r="A357" s="4"/>
      <c r="E357" s="82"/>
    </row>
    <row r="358">
      <c r="A358" s="4"/>
      <c r="E358" s="82"/>
    </row>
    <row r="359">
      <c r="A359" s="4"/>
      <c r="E359" s="82"/>
    </row>
    <row r="360">
      <c r="A360" s="4"/>
      <c r="E360" s="82"/>
    </row>
    <row r="361">
      <c r="A361" s="4"/>
      <c r="E361" s="82"/>
    </row>
    <row r="362">
      <c r="A362" s="4"/>
      <c r="E362" s="82"/>
    </row>
    <row r="363">
      <c r="A363" s="4"/>
      <c r="E363" s="82"/>
    </row>
    <row r="364">
      <c r="A364" s="4"/>
      <c r="E364" s="82"/>
    </row>
    <row r="365">
      <c r="A365" s="4"/>
      <c r="E365" s="82"/>
    </row>
    <row r="366">
      <c r="A366" s="4"/>
      <c r="E366" s="82"/>
    </row>
    <row r="367">
      <c r="A367" s="4"/>
      <c r="E367" s="82"/>
    </row>
    <row r="368">
      <c r="A368" s="4"/>
      <c r="E368" s="82"/>
    </row>
    <row r="369">
      <c r="A369" s="4"/>
      <c r="E369" s="82"/>
    </row>
    <row r="370">
      <c r="A370" s="4"/>
      <c r="E370" s="82"/>
    </row>
    <row r="371">
      <c r="A371" s="4"/>
      <c r="E371" s="82"/>
    </row>
    <row r="372">
      <c r="A372" s="4"/>
      <c r="E372" s="82"/>
    </row>
    <row r="373">
      <c r="A373" s="4"/>
      <c r="E373" s="82"/>
    </row>
    <row r="374">
      <c r="A374" s="4"/>
      <c r="E374" s="82"/>
    </row>
    <row r="375">
      <c r="A375" s="4"/>
      <c r="E375" s="82"/>
    </row>
    <row r="376">
      <c r="A376" s="4"/>
      <c r="E376" s="82"/>
    </row>
    <row r="377">
      <c r="A377" s="4"/>
      <c r="E377" s="82"/>
    </row>
    <row r="378">
      <c r="A378" s="4"/>
      <c r="E378" s="82"/>
    </row>
    <row r="379">
      <c r="A379" s="4"/>
      <c r="E379" s="82"/>
    </row>
    <row r="380">
      <c r="A380" s="4"/>
      <c r="E380" s="82"/>
    </row>
    <row r="381">
      <c r="A381" s="4"/>
      <c r="E381" s="82"/>
    </row>
    <row r="382">
      <c r="A382" s="4"/>
      <c r="E382" s="82"/>
    </row>
    <row r="383">
      <c r="A383" s="4"/>
      <c r="E383" s="82"/>
    </row>
    <row r="384">
      <c r="A384" s="4"/>
      <c r="E384" s="82"/>
    </row>
    <row r="385">
      <c r="A385" s="4"/>
      <c r="E385" s="82"/>
    </row>
    <row r="386">
      <c r="A386" s="4"/>
      <c r="E386" s="82"/>
    </row>
    <row r="387">
      <c r="A387" s="4"/>
      <c r="E387" s="82"/>
    </row>
    <row r="388">
      <c r="A388" s="4"/>
      <c r="E388" s="82"/>
    </row>
    <row r="389">
      <c r="A389" s="4"/>
      <c r="E389" s="82"/>
    </row>
    <row r="390">
      <c r="A390" s="4"/>
      <c r="E390" s="82"/>
    </row>
    <row r="391">
      <c r="A391" s="4"/>
      <c r="E391" s="82"/>
    </row>
    <row r="392">
      <c r="A392" s="4"/>
      <c r="E392" s="82"/>
    </row>
    <row r="393">
      <c r="A393" s="4"/>
      <c r="E393" s="82"/>
    </row>
    <row r="394">
      <c r="A394" s="4"/>
      <c r="E394" s="82"/>
    </row>
    <row r="395">
      <c r="A395" s="4"/>
      <c r="E395" s="82"/>
    </row>
    <row r="396">
      <c r="A396" s="4"/>
      <c r="E396" s="82"/>
    </row>
    <row r="397">
      <c r="A397" s="4"/>
      <c r="E397" s="82"/>
    </row>
    <row r="398">
      <c r="A398" s="4"/>
      <c r="E398" s="82"/>
    </row>
    <row r="399">
      <c r="A399" s="4"/>
      <c r="E399" s="82"/>
    </row>
    <row r="400">
      <c r="A400" s="4"/>
      <c r="E400" s="82"/>
    </row>
    <row r="401">
      <c r="A401" s="4"/>
      <c r="E401" s="82"/>
    </row>
    <row r="402">
      <c r="A402" s="4"/>
      <c r="E402" s="82"/>
    </row>
    <row r="403">
      <c r="A403" s="4"/>
      <c r="E403" s="82"/>
    </row>
    <row r="404">
      <c r="A404" s="4"/>
      <c r="E404" s="82"/>
    </row>
    <row r="405">
      <c r="A405" s="4"/>
      <c r="E405" s="82"/>
    </row>
    <row r="406">
      <c r="A406" s="4"/>
      <c r="E406" s="82"/>
    </row>
    <row r="407">
      <c r="A407" s="4"/>
      <c r="E407" s="82"/>
    </row>
    <row r="408">
      <c r="A408" s="4"/>
      <c r="E408" s="82"/>
    </row>
    <row r="409">
      <c r="A409" s="4"/>
      <c r="E409" s="82"/>
    </row>
    <row r="410">
      <c r="A410" s="4"/>
      <c r="E410" s="82"/>
    </row>
    <row r="411">
      <c r="A411" s="4"/>
      <c r="E411" s="82"/>
    </row>
    <row r="412">
      <c r="A412" s="4"/>
      <c r="E412" s="82"/>
    </row>
    <row r="413">
      <c r="A413" s="4"/>
      <c r="E413" s="82"/>
    </row>
    <row r="414">
      <c r="A414" s="4"/>
      <c r="E414" s="82"/>
    </row>
    <row r="415">
      <c r="A415" s="4"/>
      <c r="E415" s="82"/>
    </row>
    <row r="416">
      <c r="A416" s="4"/>
      <c r="E416" s="82"/>
    </row>
    <row r="417">
      <c r="A417" s="4"/>
      <c r="E417" s="82"/>
    </row>
    <row r="418">
      <c r="A418" s="4"/>
      <c r="E418" s="82"/>
    </row>
    <row r="419">
      <c r="A419" s="4"/>
      <c r="E419" s="82"/>
    </row>
    <row r="420">
      <c r="A420" s="4"/>
      <c r="E420" s="82"/>
    </row>
    <row r="421">
      <c r="A421" s="4"/>
      <c r="E421" s="82"/>
    </row>
    <row r="422">
      <c r="A422" s="4"/>
      <c r="E422" s="82"/>
    </row>
    <row r="423">
      <c r="A423" s="4"/>
      <c r="E423" s="82"/>
    </row>
    <row r="424">
      <c r="A424" s="4"/>
      <c r="E424" s="82"/>
    </row>
    <row r="425">
      <c r="A425" s="4"/>
      <c r="E425" s="82"/>
    </row>
    <row r="426">
      <c r="A426" s="4"/>
      <c r="E426" s="82"/>
    </row>
    <row r="427">
      <c r="A427" s="4"/>
      <c r="E427" s="82"/>
    </row>
    <row r="428">
      <c r="A428" s="4"/>
      <c r="E428" s="82"/>
    </row>
    <row r="429">
      <c r="A429" s="4"/>
      <c r="E429" s="82"/>
    </row>
    <row r="430">
      <c r="A430" s="4"/>
      <c r="E430" s="82"/>
    </row>
    <row r="431">
      <c r="A431" s="4"/>
      <c r="E431" s="82"/>
    </row>
    <row r="432">
      <c r="A432" s="4"/>
      <c r="E432" s="82"/>
    </row>
    <row r="433">
      <c r="A433" s="4"/>
      <c r="E433" s="82"/>
    </row>
    <row r="434">
      <c r="A434" s="4"/>
      <c r="E434" s="82"/>
    </row>
    <row r="435">
      <c r="A435" s="4"/>
      <c r="E435" s="82"/>
    </row>
    <row r="436">
      <c r="A436" s="4"/>
      <c r="E436" s="82"/>
    </row>
    <row r="437">
      <c r="A437" s="4"/>
      <c r="E437" s="82"/>
    </row>
    <row r="438">
      <c r="A438" s="4"/>
      <c r="E438" s="82"/>
    </row>
    <row r="439">
      <c r="A439" s="4"/>
      <c r="E439" s="82"/>
    </row>
    <row r="440">
      <c r="A440" s="4"/>
      <c r="E440" s="82"/>
    </row>
    <row r="441">
      <c r="A441" s="4"/>
      <c r="E441" s="82"/>
    </row>
    <row r="442">
      <c r="A442" s="4"/>
      <c r="E442" s="82"/>
    </row>
    <row r="443">
      <c r="A443" s="4"/>
      <c r="E443" s="82"/>
    </row>
    <row r="444">
      <c r="A444" s="4"/>
      <c r="E444" s="82"/>
    </row>
    <row r="445">
      <c r="A445" s="4"/>
      <c r="E445" s="82"/>
    </row>
    <row r="446">
      <c r="A446" s="4"/>
      <c r="E446" s="82"/>
    </row>
    <row r="447">
      <c r="A447" s="4"/>
      <c r="E447" s="82"/>
    </row>
    <row r="448">
      <c r="A448" s="4"/>
      <c r="E448" s="82"/>
    </row>
    <row r="449">
      <c r="A449" s="4"/>
      <c r="E449" s="82"/>
    </row>
    <row r="450">
      <c r="A450" s="4"/>
      <c r="E450" s="82"/>
    </row>
    <row r="451">
      <c r="A451" s="4"/>
      <c r="E451" s="82"/>
    </row>
    <row r="452">
      <c r="A452" s="4"/>
      <c r="E452" s="82"/>
    </row>
    <row r="453">
      <c r="A453" s="4"/>
      <c r="E453" s="82"/>
    </row>
    <row r="454">
      <c r="A454" s="4"/>
      <c r="E454" s="82"/>
    </row>
    <row r="455">
      <c r="A455" s="4"/>
      <c r="E455" s="82"/>
    </row>
    <row r="456">
      <c r="A456" s="4"/>
      <c r="E456" s="82"/>
    </row>
    <row r="457">
      <c r="A457" s="4"/>
      <c r="E457" s="82"/>
    </row>
    <row r="458">
      <c r="A458" s="4"/>
      <c r="E458" s="82"/>
    </row>
    <row r="459">
      <c r="A459" s="4"/>
      <c r="E459" s="82"/>
    </row>
    <row r="460">
      <c r="A460" s="4"/>
      <c r="E460" s="82"/>
    </row>
    <row r="461">
      <c r="A461" s="4"/>
      <c r="E461" s="82"/>
    </row>
    <row r="462">
      <c r="A462" s="4"/>
      <c r="E462" s="82"/>
    </row>
    <row r="463">
      <c r="A463" s="4"/>
      <c r="E463" s="82"/>
    </row>
    <row r="464">
      <c r="A464" s="4"/>
      <c r="E464" s="82"/>
    </row>
    <row r="465">
      <c r="A465" s="4"/>
      <c r="E465" s="82"/>
    </row>
    <row r="466">
      <c r="A466" s="4"/>
      <c r="E466" s="82"/>
    </row>
    <row r="467">
      <c r="A467" s="4"/>
      <c r="E467" s="82"/>
    </row>
    <row r="468">
      <c r="A468" s="4"/>
      <c r="E468" s="82"/>
    </row>
    <row r="469">
      <c r="A469" s="4"/>
      <c r="E469" s="82"/>
    </row>
    <row r="470">
      <c r="A470" s="4"/>
      <c r="E470" s="82"/>
    </row>
    <row r="471">
      <c r="A471" s="4"/>
      <c r="E471" s="82"/>
    </row>
    <row r="472">
      <c r="A472" s="4"/>
      <c r="E472" s="82"/>
    </row>
    <row r="473">
      <c r="A473" s="4"/>
      <c r="E473" s="82"/>
    </row>
    <row r="474">
      <c r="A474" s="4"/>
      <c r="E474" s="82"/>
    </row>
    <row r="475">
      <c r="A475" s="4"/>
      <c r="E475" s="82"/>
    </row>
    <row r="476">
      <c r="A476" s="4"/>
      <c r="E476" s="82"/>
    </row>
    <row r="477">
      <c r="A477" s="4"/>
      <c r="E477" s="82"/>
    </row>
    <row r="478">
      <c r="A478" s="4"/>
      <c r="E478" s="82"/>
    </row>
    <row r="479">
      <c r="A479" s="4"/>
      <c r="E479" s="82"/>
    </row>
    <row r="480">
      <c r="A480" s="4"/>
      <c r="E480" s="82"/>
    </row>
    <row r="481">
      <c r="A481" s="4"/>
      <c r="E481" s="82"/>
    </row>
    <row r="482">
      <c r="A482" s="4"/>
      <c r="E482" s="82"/>
    </row>
    <row r="483">
      <c r="A483" s="4"/>
      <c r="E483" s="82"/>
    </row>
    <row r="484">
      <c r="A484" s="4"/>
      <c r="E484" s="82"/>
    </row>
    <row r="485">
      <c r="A485" s="4"/>
      <c r="E485" s="82"/>
    </row>
    <row r="486">
      <c r="A486" s="4"/>
      <c r="E486" s="82"/>
    </row>
    <row r="487">
      <c r="A487" s="4"/>
      <c r="E487" s="82"/>
    </row>
    <row r="488">
      <c r="A488" s="4"/>
      <c r="E488" s="82"/>
    </row>
    <row r="489">
      <c r="A489" s="4"/>
      <c r="E489" s="82"/>
    </row>
    <row r="490">
      <c r="A490" s="4"/>
      <c r="E490" s="82"/>
    </row>
    <row r="491">
      <c r="A491" s="4"/>
      <c r="E491" s="82"/>
    </row>
    <row r="492">
      <c r="A492" s="4"/>
      <c r="E492" s="82"/>
    </row>
    <row r="493">
      <c r="A493" s="4"/>
      <c r="E493" s="82"/>
    </row>
    <row r="494">
      <c r="A494" s="4"/>
      <c r="E494" s="82"/>
    </row>
    <row r="495">
      <c r="A495" s="4"/>
      <c r="E495" s="82"/>
    </row>
    <row r="496">
      <c r="A496" s="4"/>
      <c r="E496" s="82"/>
    </row>
    <row r="497">
      <c r="A497" s="4"/>
      <c r="E497" s="82"/>
    </row>
    <row r="498">
      <c r="A498" s="4"/>
      <c r="E498" s="82"/>
    </row>
    <row r="499">
      <c r="A499" s="4"/>
      <c r="E499" s="82"/>
    </row>
    <row r="500">
      <c r="A500" s="4"/>
      <c r="E500" s="82"/>
    </row>
    <row r="501">
      <c r="A501" s="4"/>
      <c r="E501" s="82"/>
    </row>
    <row r="502">
      <c r="A502" s="4"/>
      <c r="E502" s="82"/>
    </row>
    <row r="503">
      <c r="A503" s="4"/>
      <c r="E503" s="82"/>
    </row>
    <row r="504">
      <c r="A504" s="4"/>
      <c r="E504" s="82"/>
    </row>
    <row r="505">
      <c r="A505" s="4"/>
      <c r="E505" s="82"/>
    </row>
    <row r="506">
      <c r="A506" s="4"/>
      <c r="E506" s="82"/>
    </row>
    <row r="507">
      <c r="A507" s="4"/>
      <c r="E507" s="82"/>
    </row>
    <row r="508">
      <c r="A508" s="4"/>
      <c r="E508" s="82"/>
    </row>
    <row r="509">
      <c r="A509" s="4"/>
      <c r="E509" s="82"/>
    </row>
    <row r="510">
      <c r="A510" s="4"/>
      <c r="E510" s="82"/>
    </row>
    <row r="511">
      <c r="A511" s="4"/>
      <c r="E511" s="82"/>
    </row>
    <row r="512">
      <c r="A512" s="4"/>
      <c r="E512" s="82"/>
    </row>
    <row r="513">
      <c r="A513" s="4"/>
      <c r="E513" s="82"/>
    </row>
    <row r="514">
      <c r="A514" s="4"/>
      <c r="E514" s="82"/>
    </row>
    <row r="515">
      <c r="A515" s="4"/>
      <c r="E515" s="82"/>
    </row>
    <row r="516">
      <c r="A516" s="4"/>
      <c r="E516" s="82"/>
    </row>
    <row r="517">
      <c r="A517" s="4"/>
      <c r="E517" s="82"/>
    </row>
    <row r="518">
      <c r="A518" s="4"/>
      <c r="E518" s="82"/>
    </row>
    <row r="519">
      <c r="A519" s="4"/>
      <c r="E519" s="82"/>
    </row>
    <row r="520">
      <c r="A520" s="4"/>
      <c r="E520" s="82"/>
    </row>
    <row r="521">
      <c r="A521" s="4"/>
      <c r="E521" s="82"/>
    </row>
    <row r="522">
      <c r="A522" s="4"/>
      <c r="E522" s="82"/>
    </row>
    <row r="523">
      <c r="A523" s="4"/>
      <c r="E523" s="82"/>
    </row>
    <row r="524">
      <c r="A524" s="4"/>
      <c r="E524" s="82"/>
    </row>
    <row r="525">
      <c r="A525" s="4"/>
      <c r="E525" s="82"/>
    </row>
    <row r="526">
      <c r="A526" s="4"/>
      <c r="E526" s="82"/>
    </row>
    <row r="527">
      <c r="A527" s="4"/>
      <c r="E527" s="82"/>
    </row>
    <row r="528">
      <c r="A528" s="4"/>
      <c r="E528" s="82"/>
    </row>
    <row r="529">
      <c r="A529" s="4"/>
      <c r="E529" s="82"/>
    </row>
    <row r="530">
      <c r="A530" s="4"/>
      <c r="E530" s="82"/>
    </row>
    <row r="531">
      <c r="A531" s="4"/>
      <c r="E531" s="82"/>
    </row>
    <row r="532">
      <c r="A532" s="4"/>
      <c r="E532" s="82"/>
    </row>
    <row r="533">
      <c r="A533" s="4"/>
      <c r="E533" s="82"/>
    </row>
    <row r="534">
      <c r="A534" s="4"/>
      <c r="E534" s="82"/>
    </row>
    <row r="535">
      <c r="A535" s="4"/>
      <c r="E535" s="82"/>
    </row>
    <row r="536">
      <c r="A536" s="4"/>
      <c r="E536" s="82"/>
    </row>
    <row r="537">
      <c r="A537" s="4"/>
      <c r="E537" s="82"/>
    </row>
    <row r="538">
      <c r="A538" s="4"/>
      <c r="E538" s="82"/>
    </row>
    <row r="539">
      <c r="A539" s="4"/>
      <c r="E539" s="82"/>
    </row>
    <row r="540">
      <c r="A540" s="4"/>
      <c r="E540" s="82"/>
    </row>
    <row r="541">
      <c r="A541" s="4"/>
      <c r="E541" s="82"/>
    </row>
    <row r="542">
      <c r="A542" s="4"/>
      <c r="E542" s="82"/>
    </row>
    <row r="543">
      <c r="A543" s="4"/>
      <c r="E543" s="82"/>
    </row>
    <row r="544">
      <c r="A544" s="4"/>
      <c r="E544" s="82"/>
    </row>
    <row r="545">
      <c r="A545" s="4"/>
      <c r="E545" s="82"/>
    </row>
    <row r="546">
      <c r="A546" s="4"/>
      <c r="E546" s="82"/>
    </row>
    <row r="547">
      <c r="A547" s="4"/>
      <c r="E547" s="82"/>
    </row>
    <row r="548">
      <c r="A548" s="4"/>
      <c r="E548" s="82"/>
    </row>
    <row r="549">
      <c r="A549" s="4"/>
      <c r="E549" s="82"/>
    </row>
    <row r="550">
      <c r="A550" s="4"/>
      <c r="E550" s="82"/>
    </row>
    <row r="551">
      <c r="A551" s="4"/>
      <c r="E551" s="82"/>
    </row>
    <row r="552">
      <c r="A552" s="4"/>
      <c r="E552" s="82"/>
    </row>
    <row r="553">
      <c r="A553" s="4"/>
      <c r="E553" s="82"/>
    </row>
    <row r="554">
      <c r="A554" s="4"/>
      <c r="E554" s="82"/>
    </row>
    <row r="555">
      <c r="A555" s="4"/>
      <c r="E555" s="82"/>
    </row>
    <row r="556">
      <c r="A556" s="4"/>
      <c r="E556" s="82"/>
    </row>
    <row r="557">
      <c r="A557" s="4"/>
      <c r="E557" s="82"/>
    </row>
    <row r="558">
      <c r="A558" s="4"/>
      <c r="E558" s="82"/>
    </row>
    <row r="559">
      <c r="A559" s="4"/>
      <c r="E559" s="82"/>
    </row>
    <row r="560">
      <c r="A560" s="4"/>
      <c r="E560" s="82"/>
    </row>
    <row r="561">
      <c r="A561" s="4"/>
      <c r="E561" s="82"/>
    </row>
    <row r="562">
      <c r="A562" s="4"/>
      <c r="E562" s="82"/>
    </row>
    <row r="563">
      <c r="A563" s="4"/>
      <c r="E563" s="82"/>
    </row>
    <row r="564">
      <c r="A564" s="4"/>
      <c r="E564" s="82"/>
    </row>
    <row r="565">
      <c r="A565" s="4"/>
      <c r="E565" s="82"/>
    </row>
    <row r="566">
      <c r="A566" s="4"/>
      <c r="E566" s="82"/>
    </row>
    <row r="567">
      <c r="A567" s="4"/>
      <c r="E567" s="82"/>
    </row>
    <row r="568">
      <c r="A568" s="4"/>
      <c r="E568" s="82"/>
    </row>
    <row r="569">
      <c r="A569" s="4"/>
      <c r="E569" s="82"/>
    </row>
    <row r="570">
      <c r="A570" s="4"/>
      <c r="E570" s="82"/>
    </row>
    <row r="571">
      <c r="A571" s="4"/>
      <c r="E571" s="82"/>
    </row>
    <row r="572">
      <c r="A572" s="4"/>
      <c r="E572" s="82"/>
    </row>
    <row r="573">
      <c r="A573" s="4"/>
      <c r="E573" s="82"/>
    </row>
    <row r="574">
      <c r="A574" s="4"/>
      <c r="E574" s="82"/>
    </row>
    <row r="575">
      <c r="A575" s="4"/>
      <c r="E575" s="82"/>
    </row>
    <row r="576">
      <c r="A576" s="4"/>
      <c r="E576" s="82"/>
    </row>
    <row r="577">
      <c r="A577" s="4"/>
      <c r="E577" s="82"/>
    </row>
    <row r="578">
      <c r="A578" s="4"/>
      <c r="E578" s="82"/>
    </row>
    <row r="579">
      <c r="A579" s="4"/>
      <c r="E579" s="82"/>
    </row>
    <row r="580">
      <c r="A580" s="4"/>
      <c r="E580" s="82"/>
    </row>
    <row r="581">
      <c r="A581" s="4"/>
      <c r="E581" s="82"/>
    </row>
    <row r="582">
      <c r="A582" s="4"/>
      <c r="E582" s="82"/>
    </row>
    <row r="583">
      <c r="A583" s="4"/>
      <c r="E583" s="82"/>
    </row>
    <row r="584">
      <c r="A584" s="4"/>
      <c r="E584" s="82"/>
    </row>
    <row r="585">
      <c r="A585" s="4"/>
      <c r="E585" s="82"/>
    </row>
    <row r="586">
      <c r="A586" s="4"/>
      <c r="E586" s="82"/>
    </row>
    <row r="587">
      <c r="A587" s="4"/>
      <c r="E587" s="82"/>
    </row>
    <row r="588">
      <c r="A588" s="4"/>
      <c r="E588" s="82"/>
    </row>
    <row r="589">
      <c r="A589" s="4"/>
      <c r="E589" s="82"/>
    </row>
    <row r="590">
      <c r="A590" s="4"/>
      <c r="E590" s="82"/>
    </row>
    <row r="591">
      <c r="A591" s="4"/>
      <c r="E591" s="82"/>
    </row>
    <row r="592">
      <c r="A592" s="4"/>
      <c r="E592" s="82"/>
    </row>
    <row r="593">
      <c r="A593" s="4"/>
      <c r="E593" s="82"/>
    </row>
    <row r="594">
      <c r="A594" s="4"/>
      <c r="E594" s="82"/>
    </row>
    <row r="595">
      <c r="A595" s="4"/>
      <c r="E595" s="82"/>
    </row>
    <row r="596">
      <c r="A596" s="4"/>
      <c r="E596" s="82"/>
    </row>
    <row r="597">
      <c r="A597" s="4"/>
      <c r="E597" s="82"/>
    </row>
    <row r="598">
      <c r="A598" s="4"/>
      <c r="E598" s="82"/>
    </row>
    <row r="599">
      <c r="A599" s="4"/>
      <c r="E599" s="82"/>
    </row>
    <row r="600">
      <c r="A600" s="4"/>
      <c r="E600" s="82"/>
    </row>
    <row r="601">
      <c r="A601" s="4"/>
      <c r="E601" s="82"/>
    </row>
    <row r="602">
      <c r="A602" s="4"/>
      <c r="E602" s="82"/>
    </row>
    <row r="603">
      <c r="A603" s="4"/>
      <c r="E603" s="82"/>
    </row>
    <row r="604">
      <c r="A604" s="4"/>
      <c r="E604" s="82"/>
    </row>
    <row r="605">
      <c r="A605" s="4"/>
      <c r="E605" s="82"/>
    </row>
    <row r="606">
      <c r="A606" s="4"/>
      <c r="E606" s="82"/>
    </row>
    <row r="607">
      <c r="A607" s="4"/>
      <c r="E607" s="82"/>
    </row>
    <row r="608">
      <c r="A608" s="4"/>
      <c r="E608" s="82"/>
    </row>
    <row r="609">
      <c r="A609" s="4"/>
      <c r="E609" s="82"/>
    </row>
    <row r="610">
      <c r="A610" s="4"/>
      <c r="E610" s="82"/>
    </row>
    <row r="611">
      <c r="A611" s="4"/>
      <c r="E611" s="82"/>
    </row>
    <row r="612">
      <c r="A612" s="4"/>
      <c r="E612" s="82"/>
    </row>
    <row r="613">
      <c r="A613" s="4"/>
      <c r="E613" s="82"/>
    </row>
    <row r="614">
      <c r="A614" s="4"/>
      <c r="E614" s="82"/>
    </row>
    <row r="615">
      <c r="A615" s="4"/>
      <c r="E615" s="82"/>
    </row>
    <row r="616">
      <c r="A616" s="4"/>
      <c r="E616" s="82"/>
    </row>
    <row r="617">
      <c r="A617" s="4"/>
      <c r="E617" s="82"/>
    </row>
    <row r="618">
      <c r="A618" s="4"/>
      <c r="E618" s="82"/>
    </row>
    <row r="619">
      <c r="A619" s="4"/>
      <c r="E619" s="82"/>
    </row>
    <row r="620">
      <c r="A620" s="4"/>
      <c r="E620" s="82"/>
    </row>
    <row r="621">
      <c r="A621" s="4"/>
      <c r="E621" s="82"/>
    </row>
    <row r="622">
      <c r="A622" s="4"/>
      <c r="E622" s="82"/>
    </row>
    <row r="623">
      <c r="A623" s="4"/>
      <c r="E623" s="82"/>
    </row>
    <row r="624">
      <c r="A624" s="4"/>
      <c r="E624" s="82"/>
    </row>
    <row r="625">
      <c r="A625" s="4"/>
      <c r="E625" s="82"/>
    </row>
    <row r="626">
      <c r="A626" s="4"/>
      <c r="E626" s="82"/>
    </row>
    <row r="627">
      <c r="A627" s="4"/>
      <c r="E627" s="82"/>
    </row>
    <row r="628">
      <c r="A628" s="4"/>
      <c r="E628" s="82"/>
    </row>
    <row r="629">
      <c r="A629" s="4"/>
      <c r="E629" s="82"/>
    </row>
    <row r="630">
      <c r="A630" s="4"/>
      <c r="E630" s="82"/>
    </row>
    <row r="631">
      <c r="A631" s="4"/>
      <c r="E631" s="82"/>
    </row>
    <row r="632">
      <c r="A632" s="4"/>
      <c r="E632" s="82"/>
    </row>
    <row r="633">
      <c r="A633" s="4"/>
      <c r="E633" s="82"/>
    </row>
    <row r="634">
      <c r="A634" s="4"/>
      <c r="E634" s="82"/>
    </row>
    <row r="635">
      <c r="A635" s="4"/>
      <c r="E635" s="82"/>
    </row>
    <row r="636">
      <c r="A636" s="4"/>
      <c r="E636" s="82"/>
    </row>
    <row r="637">
      <c r="A637" s="4"/>
      <c r="E637" s="82"/>
    </row>
    <row r="638">
      <c r="A638" s="4"/>
      <c r="E638" s="82"/>
    </row>
    <row r="639">
      <c r="A639" s="4"/>
      <c r="E639" s="82"/>
    </row>
    <row r="640">
      <c r="A640" s="4"/>
      <c r="E640" s="82"/>
    </row>
    <row r="641">
      <c r="A641" s="4"/>
      <c r="E641" s="82"/>
    </row>
    <row r="642">
      <c r="A642" s="4"/>
      <c r="E642" s="82"/>
    </row>
    <row r="643">
      <c r="A643" s="4"/>
      <c r="E643" s="82"/>
    </row>
    <row r="644">
      <c r="A644" s="4"/>
      <c r="E644" s="82"/>
    </row>
    <row r="645">
      <c r="A645" s="4"/>
      <c r="E645" s="82"/>
    </row>
    <row r="646">
      <c r="A646" s="4"/>
      <c r="E646" s="82"/>
    </row>
    <row r="647">
      <c r="A647" s="4"/>
      <c r="E647" s="82"/>
    </row>
    <row r="648">
      <c r="A648" s="4"/>
      <c r="E648" s="82"/>
    </row>
    <row r="649">
      <c r="A649" s="4"/>
      <c r="E649" s="82"/>
    </row>
    <row r="650">
      <c r="A650" s="4"/>
      <c r="E650" s="82"/>
    </row>
    <row r="651">
      <c r="A651" s="4"/>
      <c r="E651" s="82"/>
    </row>
    <row r="652">
      <c r="A652" s="4"/>
      <c r="E652" s="82"/>
    </row>
    <row r="653">
      <c r="A653" s="4"/>
      <c r="E653" s="82"/>
    </row>
    <row r="654">
      <c r="A654" s="4"/>
      <c r="E654" s="82"/>
    </row>
    <row r="655">
      <c r="A655" s="4"/>
      <c r="E655" s="82"/>
    </row>
    <row r="656">
      <c r="A656" s="4"/>
      <c r="E656" s="82"/>
    </row>
    <row r="657">
      <c r="A657" s="4"/>
      <c r="E657" s="82"/>
    </row>
    <row r="658">
      <c r="A658" s="4"/>
      <c r="E658" s="82"/>
    </row>
    <row r="659">
      <c r="A659" s="4"/>
      <c r="E659" s="82"/>
    </row>
    <row r="660">
      <c r="A660" s="4"/>
      <c r="E660" s="82"/>
    </row>
    <row r="661">
      <c r="A661" s="4"/>
      <c r="E661" s="82"/>
    </row>
    <row r="662">
      <c r="A662" s="4"/>
      <c r="E662" s="82"/>
    </row>
    <row r="663">
      <c r="A663" s="4"/>
      <c r="E663" s="82"/>
    </row>
    <row r="664">
      <c r="A664" s="4"/>
      <c r="E664" s="82"/>
    </row>
    <row r="665">
      <c r="A665" s="4"/>
      <c r="E665" s="82"/>
    </row>
    <row r="666">
      <c r="A666" s="4"/>
      <c r="E666" s="82"/>
    </row>
    <row r="667">
      <c r="A667" s="4"/>
      <c r="E667" s="82"/>
    </row>
    <row r="668">
      <c r="A668" s="4"/>
      <c r="E668" s="82"/>
    </row>
    <row r="669">
      <c r="A669" s="4"/>
      <c r="E669" s="82"/>
    </row>
    <row r="670">
      <c r="A670" s="4"/>
      <c r="E670" s="82"/>
    </row>
    <row r="671">
      <c r="A671" s="4"/>
      <c r="E671" s="82"/>
    </row>
    <row r="672">
      <c r="A672" s="4"/>
      <c r="E672" s="82"/>
    </row>
    <row r="673">
      <c r="A673" s="4"/>
      <c r="E673" s="82"/>
    </row>
    <row r="674">
      <c r="A674" s="4"/>
      <c r="E674" s="82"/>
    </row>
    <row r="675">
      <c r="A675" s="4"/>
      <c r="E675" s="82"/>
    </row>
    <row r="676">
      <c r="A676" s="4"/>
      <c r="E676" s="82"/>
    </row>
    <row r="677">
      <c r="A677" s="4"/>
      <c r="E677" s="82"/>
    </row>
    <row r="678">
      <c r="A678" s="4"/>
      <c r="E678" s="82"/>
    </row>
    <row r="679">
      <c r="A679" s="4"/>
      <c r="E679" s="82"/>
    </row>
    <row r="680">
      <c r="A680" s="4"/>
      <c r="E680" s="82"/>
    </row>
    <row r="681">
      <c r="A681" s="4"/>
      <c r="E681" s="82"/>
    </row>
    <row r="682">
      <c r="A682" s="4"/>
      <c r="E682" s="82"/>
    </row>
    <row r="683">
      <c r="A683" s="4"/>
      <c r="E683" s="82"/>
    </row>
    <row r="684">
      <c r="A684" s="4"/>
      <c r="E684" s="82"/>
    </row>
    <row r="685">
      <c r="A685" s="4"/>
      <c r="E685" s="82"/>
    </row>
    <row r="686">
      <c r="A686" s="4"/>
      <c r="E686" s="82"/>
    </row>
    <row r="687">
      <c r="A687" s="4"/>
      <c r="E687" s="82"/>
    </row>
    <row r="688">
      <c r="A688" s="4"/>
      <c r="E688" s="82"/>
    </row>
    <row r="689">
      <c r="A689" s="4"/>
      <c r="E689" s="82"/>
    </row>
    <row r="690">
      <c r="A690" s="4"/>
      <c r="E690" s="82"/>
    </row>
    <row r="691">
      <c r="A691" s="4"/>
      <c r="E691" s="82"/>
    </row>
    <row r="692">
      <c r="A692" s="4"/>
      <c r="E692" s="82"/>
    </row>
    <row r="693">
      <c r="A693" s="4"/>
      <c r="E693" s="82"/>
    </row>
    <row r="694">
      <c r="A694" s="4"/>
      <c r="E694" s="82"/>
    </row>
    <row r="695">
      <c r="A695" s="4"/>
      <c r="E695" s="82"/>
    </row>
    <row r="696">
      <c r="A696" s="4"/>
      <c r="E696" s="82"/>
    </row>
    <row r="697">
      <c r="A697" s="4"/>
      <c r="E697" s="82"/>
    </row>
    <row r="698">
      <c r="A698" s="4"/>
      <c r="E698" s="82"/>
    </row>
    <row r="699">
      <c r="A699" s="4"/>
      <c r="E699" s="82"/>
    </row>
    <row r="700">
      <c r="A700" s="4"/>
      <c r="E700" s="82"/>
    </row>
    <row r="701">
      <c r="A701" s="4"/>
      <c r="E701" s="82"/>
    </row>
    <row r="702">
      <c r="A702" s="4"/>
      <c r="E702" s="82"/>
    </row>
    <row r="703">
      <c r="A703" s="4"/>
      <c r="E703" s="82"/>
    </row>
    <row r="704">
      <c r="A704" s="4"/>
      <c r="E704" s="82"/>
    </row>
    <row r="705">
      <c r="A705" s="4"/>
      <c r="E705" s="82"/>
    </row>
    <row r="706">
      <c r="A706" s="4"/>
      <c r="E706" s="82"/>
    </row>
    <row r="707">
      <c r="A707" s="4"/>
      <c r="E707" s="82"/>
    </row>
    <row r="708">
      <c r="A708" s="4"/>
      <c r="E708" s="82"/>
    </row>
    <row r="709">
      <c r="A709" s="4"/>
      <c r="E709" s="82"/>
    </row>
    <row r="710">
      <c r="A710" s="4"/>
      <c r="E710" s="82"/>
    </row>
    <row r="711">
      <c r="A711" s="4"/>
      <c r="E711" s="82"/>
    </row>
    <row r="712">
      <c r="A712" s="4"/>
      <c r="E712" s="82"/>
    </row>
    <row r="713">
      <c r="A713" s="4"/>
      <c r="E713" s="82"/>
    </row>
    <row r="714">
      <c r="A714" s="4"/>
      <c r="E714" s="82"/>
    </row>
    <row r="715">
      <c r="A715" s="4"/>
      <c r="E715" s="82"/>
    </row>
    <row r="716">
      <c r="A716" s="4"/>
      <c r="E716" s="82"/>
    </row>
    <row r="717">
      <c r="A717" s="4"/>
      <c r="E717" s="82"/>
    </row>
    <row r="718">
      <c r="A718" s="4"/>
      <c r="E718" s="82"/>
    </row>
    <row r="719">
      <c r="A719" s="4"/>
      <c r="E719" s="82"/>
    </row>
    <row r="720">
      <c r="A720" s="4"/>
      <c r="E720" s="82"/>
    </row>
    <row r="721">
      <c r="A721" s="4"/>
      <c r="E721" s="82"/>
    </row>
    <row r="722">
      <c r="A722" s="4"/>
      <c r="E722" s="82"/>
    </row>
    <row r="723">
      <c r="A723" s="4"/>
      <c r="E723" s="82"/>
    </row>
    <row r="724">
      <c r="A724" s="4"/>
      <c r="E724" s="82"/>
    </row>
    <row r="725">
      <c r="A725" s="4"/>
      <c r="E725" s="82"/>
    </row>
    <row r="726">
      <c r="A726" s="4"/>
      <c r="E726" s="82"/>
    </row>
    <row r="727">
      <c r="A727" s="4"/>
      <c r="E727" s="82"/>
    </row>
    <row r="728">
      <c r="A728" s="4"/>
      <c r="E728" s="82"/>
    </row>
    <row r="729">
      <c r="A729" s="4"/>
      <c r="E729" s="82"/>
    </row>
    <row r="730">
      <c r="A730" s="4"/>
      <c r="E730" s="82"/>
    </row>
    <row r="731">
      <c r="A731" s="4"/>
      <c r="E731" s="82"/>
    </row>
    <row r="732">
      <c r="A732" s="4"/>
      <c r="E732" s="82"/>
    </row>
    <row r="733">
      <c r="A733" s="4"/>
      <c r="E733" s="82"/>
    </row>
    <row r="734">
      <c r="A734" s="4"/>
      <c r="E734" s="82"/>
    </row>
    <row r="735">
      <c r="A735" s="4"/>
      <c r="E735" s="82"/>
    </row>
    <row r="736">
      <c r="A736" s="4"/>
      <c r="E736" s="82"/>
    </row>
    <row r="737">
      <c r="A737" s="4"/>
      <c r="E737" s="82"/>
    </row>
    <row r="738">
      <c r="A738" s="4"/>
      <c r="E738" s="82"/>
    </row>
    <row r="739">
      <c r="A739" s="4"/>
      <c r="E739" s="82"/>
    </row>
    <row r="740">
      <c r="A740" s="4"/>
      <c r="E740" s="82"/>
    </row>
    <row r="741">
      <c r="A741" s="4"/>
      <c r="E741" s="82"/>
    </row>
    <row r="742">
      <c r="A742" s="4"/>
      <c r="E742" s="82"/>
    </row>
    <row r="743">
      <c r="A743" s="4"/>
      <c r="E743" s="82"/>
    </row>
    <row r="744">
      <c r="A744" s="4"/>
      <c r="E744" s="82"/>
    </row>
    <row r="745">
      <c r="A745" s="4"/>
      <c r="E745" s="82"/>
    </row>
    <row r="746">
      <c r="A746" s="4"/>
      <c r="E746" s="82"/>
    </row>
    <row r="747">
      <c r="A747" s="4"/>
      <c r="E747" s="82"/>
    </row>
    <row r="748">
      <c r="A748" s="4"/>
      <c r="E748" s="82"/>
    </row>
    <row r="749">
      <c r="A749" s="4"/>
      <c r="E749" s="82"/>
    </row>
    <row r="750">
      <c r="A750" s="4"/>
      <c r="E750" s="82"/>
    </row>
    <row r="751">
      <c r="A751" s="4"/>
      <c r="E751" s="82"/>
    </row>
    <row r="752">
      <c r="A752" s="4"/>
      <c r="E752" s="82"/>
    </row>
    <row r="753">
      <c r="A753" s="4"/>
      <c r="E753" s="82"/>
    </row>
    <row r="754">
      <c r="A754" s="4"/>
      <c r="E754" s="82"/>
    </row>
    <row r="755">
      <c r="A755" s="4"/>
      <c r="E755" s="82"/>
    </row>
    <row r="756">
      <c r="A756" s="4"/>
      <c r="E756" s="82"/>
    </row>
    <row r="757">
      <c r="A757" s="4"/>
      <c r="E757" s="82"/>
    </row>
    <row r="758">
      <c r="A758" s="4"/>
      <c r="E758" s="82"/>
    </row>
    <row r="759">
      <c r="A759" s="4"/>
      <c r="E759" s="82"/>
    </row>
    <row r="760">
      <c r="A760" s="4"/>
      <c r="E760" s="82"/>
    </row>
    <row r="761">
      <c r="A761" s="4"/>
      <c r="E761" s="82"/>
    </row>
    <row r="762">
      <c r="A762" s="4"/>
      <c r="E762" s="82"/>
    </row>
    <row r="763">
      <c r="A763" s="4"/>
      <c r="E763" s="82"/>
    </row>
    <row r="764">
      <c r="A764" s="4"/>
      <c r="E764" s="82"/>
    </row>
    <row r="765">
      <c r="A765" s="4"/>
      <c r="E765" s="82"/>
    </row>
    <row r="766">
      <c r="A766" s="4"/>
      <c r="E766" s="82"/>
    </row>
    <row r="767">
      <c r="A767" s="4"/>
      <c r="E767" s="82"/>
    </row>
    <row r="768">
      <c r="A768" s="4"/>
      <c r="E768" s="82"/>
    </row>
    <row r="769">
      <c r="A769" s="4"/>
      <c r="E769" s="82"/>
    </row>
    <row r="770">
      <c r="A770" s="4"/>
      <c r="E770" s="82"/>
    </row>
    <row r="771">
      <c r="A771" s="4"/>
      <c r="E771" s="82"/>
    </row>
    <row r="772">
      <c r="A772" s="4"/>
      <c r="E772" s="82"/>
    </row>
    <row r="773">
      <c r="A773" s="4"/>
      <c r="E773" s="82"/>
    </row>
    <row r="774">
      <c r="A774" s="4"/>
      <c r="E774" s="82"/>
    </row>
    <row r="775">
      <c r="A775" s="4"/>
      <c r="E775" s="82"/>
    </row>
    <row r="776">
      <c r="A776" s="4"/>
      <c r="E776" s="82"/>
    </row>
    <row r="777">
      <c r="A777" s="4"/>
      <c r="E777" s="82"/>
    </row>
    <row r="778">
      <c r="A778" s="4"/>
      <c r="E778" s="82"/>
    </row>
    <row r="779">
      <c r="A779" s="4"/>
      <c r="E779" s="82"/>
    </row>
    <row r="780">
      <c r="A780" s="4"/>
      <c r="E780" s="82"/>
    </row>
    <row r="781">
      <c r="A781" s="4"/>
      <c r="E781" s="82"/>
    </row>
    <row r="782">
      <c r="A782" s="4"/>
      <c r="E782" s="82"/>
    </row>
    <row r="783">
      <c r="A783" s="4"/>
      <c r="E783" s="82"/>
    </row>
    <row r="784">
      <c r="A784" s="4"/>
      <c r="E784" s="82"/>
    </row>
    <row r="785">
      <c r="A785" s="4"/>
      <c r="E785" s="82"/>
    </row>
    <row r="786">
      <c r="A786" s="4"/>
      <c r="E786" s="82"/>
    </row>
    <row r="787">
      <c r="A787" s="4"/>
      <c r="E787" s="82"/>
    </row>
    <row r="788">
      <c r="A788" s="4"/>
      <c r="E788" s="82"/>
    </row>
    <row r="789">
      <c r="A789" s="4"/>
      <c r="E789" s="82"/>
    </row>
    <row r="790">
      <c r="A790" s="4"/>
      <c r="E790" s="82"/>
    </row>
    <row r="791">
      <c r="A791" s="4"/>
      <c r="E791" s="82"/>
    </row>
    <row r="792">
      <c r="A792" s="4"/>
      <c r="E792" s="82"/>
    </row>
    <row r="793">
      <c r="A793" s="4"/>
      <c r="E793" s="82"/>
    </row>
    <row r="794">
      <c r="A794" s="4"/>
      <c r="E794" s="82"/>
    </row>
    <row r="795">
      <c r="A795" s="4"/>
      <c r="E795" s="82"/>
    </row>
    <row r="796">
      <c r="A796" s="4"/>
      <c r="E796" s="82"/>
    </row>
    <row r="797">
      <c r="A797" s="4"/>
      <c r="E797" s="82"/>
    </row>
    <row r="798">
      <c r="A798" s="4"/>
      <c r="E798" s="82"/>
    </row>
    <row r="799">
      <c r="A799" s="4"/>
      <c r="E799" s="82"/>
    </row>
    <row r="800">
      <c r="A800" s="4"/>
      <c r="E800" s="82"/>
    </row>
    <row r="801">
      <c r="A801" s="4"/>
      <c r="E801" s="82"/>
    </row>
    <row r="802">
      <c r="A802" s="4"/>
      <c r="E802" s="82"/>
    </row>
    <row r="803">
      <c r="A803" s="4"/>
      <c r="E803" s="82"/>
    </row>
    <row r="804">
      <c r="A804" s="4"/>
      <c r="E804" s="82"/>
    </row>
    <row r="805">
      <c r="A805" s="4"/>
      <c r="E805" s="82"/>
    </row>
    <row r="806">
      <c r="A806" s="4"/>
      <c r="E806" s="82"/>
    </row>
    <row r="807">
      <c r="A807" s="4"/>
      <c r="E807" s="82"/>
    </row>
    <row r="808">
      <c r="A808" s="4"/>
      <c r="E808" s="82"/>
    </row>
    <row r="809">
      <c r="A809" s="4"/>
      <c r="E809" s="82"/>
    </row>
    <row r="810">
      <c r="A810" s="4"/>
      <c r="E810" s="82"/>
    </row>
    <row r="811">
      <c r="A811" s="4"/>
      <c r="E811" s="82"/>
    </row>
    <row r="812">
      <c r="A812" s="4"/>
      <c r="E812" s="82"/>
    </row>
    <row r="813">
      <c r="A813" s="4"/>
      <c r="E813" s="82"/>
    </row>
    <row r="814">
      <c r="A814" s="4"/>
      <c r="E814" s="82"/>
    </row>
    <row r="815">
      <c r="A815" s="4"/>
      <c r="E815" s="82"/>
    </row>
    <row r="816">
      <c r="A816" s="4"/>
      <c r="E816" s="82"/>
    </row>
    <row r="817">
      <c r="A817" s="4"/>
      <c r="E817" s="82"/>
    </row>
    <row r="818">
      <c r="A818" s="4"/>
      <c r="E818" s="82"/>
    </row>
    <row r="819">
      <c r="A819" s="4"/>
      <c r="E819" s="82"/>
    </row>
    <row r="820">
      <c r="A820" s="4"/>
      <c r="E820" s="82"/>
    </row>
    <row r="821">
      <c r="A821" s="4"/>
      <c r="E821" s="82"/>
    </row>
    <row r="822">
      <c r="A822" s="4"/>
      <c r="E822" s="82"/>
    </row>
    <row r="823">
      <c r="A823" s="4"/>
      <c r="E823" s="82"/>
    </row>
    <row r="824">
      <c r="A824" s="4"/>
      <c r="E824" s="82"/>
    </row>
    <row r="825">
      <c r="A825" s="4"/>
      <c r="E825" s="82"/>
    </row>
    <row r="826">
      <c r="A826" s="4"/>
      <c r="E826" s="82"/>
    </row>
    <row r="827">
      <c r="A827" s="4"/>
      <c r="E827" s="82"/>
    </row>
    <row r="828">
      <c r="A828" s="4"/>
      <c r="E828" s="82"/>
    </row>
    <row r="829">
      <c r="A829" s="4"/>
      <c r="E829" s="82"/>
    </row>
    <row r="830">
      <c r="A830" s="4"/>
      <c r="E830" s="82"/>
    </row>
    <row r="831">
      <c r="A831" s="4"/>
      <c r="E831" s="82"/>
    </row>
    <row r="832">
      <c r="A832" s="4"/>
      <c r="E832" s="82"/>
    </row>
    <row r="833">
      <c r="A833" s="4"/>
      <c r="E833" s="82"/>
    </row>
    <row r="834">
      <c r="A834" s="4"/>
      <c r="E834" s="82"/>
    </row>
    <row r="835">
      <c r="A835" s="4"/>
      <c r="E835" s="82"/>
    </row>
    <row r="836">
      <c r="A836" s="4"/>
      <c r="E836" s="82"/>
    </row>
    <row r="837">
      <c r="A837" s="4"/>
      <c r="E837" s="82"/>
    </row>
    <row r="838">
      <c r="A838" s="4"/>
      <c r="E838" s="82"/>
    </row>
    <row r="839">
      <c r="A839" s="4"/>
      <c r="E839" s="82"/>
    </row>
    <row r="840">
      <c r="A840" s="4"/>
      <c r="E840" s="82"/>
    </row>
    <row r="841">
      <c r="A841" s="4"/>
      <c r="E841" s="82"/>
    </row>
    <row r="842">
      <c r="A842" s="4"/>
      <c r="E842" s="82"/>
    </row>
    <row r="843">
      <c r="A843" s="4"/>
      <c r="E843" s="82"/>
    </row>
    <row r="844">
      <c r="A844" s="4"/>
      <c r="E844" s="82"/>
    </row>
    <row r="845">
      <c r="A845" s="4"/>
      <c r="E845" s="82"/>
    </row>
    <row r="846">
      <c r="A846" s="4"/>
      <c r="E846" s="82"/>
    </row>
    <row r="847">
      <c r="A847" s="4"/>
      <c r="E847" s="82"/>
    </row>
    <row r="848">
      <c r="A848" s="4"/>
      <c r="E848" s="82"/>
    </row>
    <row r="849">
      <c r="A849" s="4"/>
      <c r="E849" s="82"/>
    </row>
    <row r="850">
      <c r="A850" s="4"/>
      <c r="E850" s="82"/>
    </row>
    <row r="851">
      <c r="A851" s="4"/>
      <c r="E851" s="82"/>
    </row>
    <row r="852">
      <c r="A852" s="4"/>
      <c r="E852" s="82"/>
    </row>
    <row r="853">
      <c r="A853" s="4"/>
      <c r="E853" s="82"/>
    </row>
    <row r="854">
      <c r="A854" s="4"/>
      <c r="E854" s="82"/>
    </row>
    <row r="855">
      <c r="A855" s="4"/>
      <c r="E855" s="82"/>
    </row>
    <row r="856">
      <c r="A856" s="4"/>
      <c r="E856" s="82"/>
    </row>
    <row r="857">
      <c r="A857" s="4"/>
      <c r="E857" s="82"/>
    </row>
    <row r="858">
      <c r="A858" s="4"/>
      <c r="E858" s="82"/>
    </row>
    <row r="859">
      <c r="A859" s="4"/>
      <c r="E859" s="82"/>
    </row>
    <row r="860">
      <c r="A860" s="4"/>
      <c r="E860" s="82"/>
    </row>
    <row r="861">
      <c r="A861" s="4"/>
      <c r="E861" s="82"/>
    </row>
    <row r="862">
      <c r="A862" s="4"/>
      <c r="E862" s="82"/>
    </row>
    <row r="863">
      <c r="A863" s="4"/>
      <c r="E863" s="82"/>
    </row>
    <row r="864">
      <c r="A864" s="4"/>
      <c r="E864" s="82"/>
    </row>
    <row r="865">
      <c r="A865" s="4"/>
      <c r="E865" s="82"/>
    </row>
    <row r="866">
      <c r="A866" s="4"/>
      <c r="E866" s="82"/>
    </row>
    <row r="867">
      <c r="A867" s="4"/>
      <c r="E867" s="82"/>
    </row>
    <row r="868">
      <c r="A868" s="4"/>
      <c r="E868" s="82"/>
    </row>
    <row r="869">
      <c r="A869" s="4"/>
      <c r="E869" s="82"/>
    </row>
    <row r="870">
      <c r="A870" s="4"/>
      <c r="E870" s="82"/>
    </row>
    <row r="871">
      <c r="A871" s="4"/>
      <c r="E871" s="82"/>
    </row>
    <row r="872">
      <c r="A872" s="4"/>
      <c r="E872" s="82"/>
    </row>
    <row r="873">
      <c r="A873" s="4"/>
      <c r="E873" s="82"/>
    </row>
    <row r="874">
      <c r="A874" s="4"/>
      <c r="E874" s="82"/>
    </row>
    <row r="875">
      <c r="A875" s="4"/>
      <c r="E875" s="82"/>
    </row>
    <row r="876">
      <c r="A876" s="4"/>
      <c r="E876" s="82"/>
    </row>
    <row r="877">
      <c r="A877" s="4"/>
      <c r="E877" s="82"/>
    </row>
    <row r="878">
      <c r="A878" s="4"/>
      <c r="E878" s="82"/>
    </row>
    <row r="879">
      <c r="A879" s="4"/>
      <c r="E879" s="82"/>
    </row>
    <row r="880">
      <c r="A880" s="4"/>
      <c r="E880" s="82"/>
    </row>
    <row r="881">
      <c r="A881" s="4"/>
      <c r="E881" s="82"/>
    </row>
    <row r="882">
      <c r="A882" s="4"/>
      <c r="E882" s="82"/>
    </row>
    <row r="883">
      <c r="A883" s="4"/>
      <c r="E883" s="82"/>
    </row>
    <row r="884">
      <c r="A884" s="4"/>
      <c r="E884" s="82"/>
    </row>
    <row r="885">
      <c r="A885" s="4"/>
      <c r="E885" s="82"/>
    </row>
    <row r="886">
      <c r="A886" s="4"/>
      <c r="E886" s="82"/>
    </row>
    <row r="887">
      <c r="A887" s="4"/>
      <c r="E887" s="82"/>
    </row>
    <row r="888">
      <c r="A888" s="4"/>
      <c r="E888" s="82"/>
    </row>
    <row r="889">
      <c r="A889" s="4"/>
      <c r="E889" s="82"/>
    </row>
    <row r="890">
      <c r="A890" s="4"/>
      <c r="E890" s="82"/>
    </row>
    <row r="891">
      <c r="A891" s="4"/>
      <c r="E891" s="82"/>
    </row>
    <row r="892">
      <c r="A892" s="4"/>
      <c r="E892" s="82"/>
    </row>
    <row r="893">
      <c r="A893" s="4"/>
      <c r="E893" s="82"/>
    </row>
    <row r="894">
      <c r="A894" s="4"/>
      <c r="E894" s="82"/>
    </row>
    <row r="895">
      <c r="A895" s="4"/>
      <c r="E895" s="82"/>
    </row>
    <row r="896">
      <c r="A896" s="4"/>
      <c r="E896" s="82"/>
    </row>
    <row r="897">
      <c r="A897" s="4"/>
      <c r="E897" s="82"/>
    </row>
    <row r="898">
      <c r="A898" s="4"/>
      <c r="E898" s="82"/>
    </row>
    <row r="899">
      <c r="A899" s="4"/>
      <c r="E899" s="82"/>
    </row>
    <row r="900">
      <c r="A900" s="4"/>
      <c r="E900" s="82"/>
    </row>
    <row r="901">
      <c r="A901" s="4"/>
      <c r="E901" s="82"/>
    </row>
    <row r="902">
      <c r="A902" s="4"/>
      <c r="E902" s="82"/>
    </row>
    <row r="903">
      <c r="A903" s="4"/>
      <c r="E903" s="82"/>
    </row>
    <row r="904">
      <c r="A904" s="4"/>
      <c r="E904" s="82"/>
    </row>
    <row r="905">
      <c r="A905" s="4"/>
      <c r="E905" s="82"/>
    </row>
    <row r="906">
      <c r="A906" s="4"/>
      <c r="E906" s="82"/>
    </row>
    <row r="907">
      <c r="A907" s="4"/>
      <c r="E907" s="82"/>
    </row>
    <row r="908">
      <c r="A908" s="4"/>
      <c r="E908" s="82"/>
    </row>
    <row r="909">
      <c r="A909" s="4"/>
      <c r="E909" s="82"/>
    </row>
    <row r="910">
      <c r="A910" s="4"/>
      <c r="E910" s="82"/>
    </row>
    <row r="911">
      <c r="A911" s="4"/>
      <c r="E911" s="82"/>
    </row>
    <row r="912">
      <c r="A912" s="4"/>
      <c r="E912" s="82"/>
    </row>
    <row r="913">
      <c r="A913" s="4"/>
      <c r="E913" s="82"/>
    </row>
    <row r="914">
      <c r="A914" s="4"/>
      <c r="E914" s="82"/>
    </row>
    <row r="915">
      <c r="A915" s="4"/>
      <c r="E915" s="82"/>
    </row>
    <row r="916">
      <c r="A916" s="4"/>
      <c r="E916" s="82"/>
    </row>
    <row r="917">
      <c r="A917" s="4"/>
      <c r="E917" s="82"/>
    </row>
    <row r="918">
      <c r="A918" s="4"/>
      <c r="E918" s="82"/>
    </row>
    <row r="919">
      <c r="A919" s="4"/>
      <c r="E919" s="82"/>
    </row>
    <row r="920">
      <c r="A920" s="4"/>
      <c r="E920" s="82"/>
    </row>
    <row r="921">
      <c r="A921" s="4"/>
      <c r="E921" s="82"/>
    </row>
    <row r="922">
      <c r="A922" s="4"/>
      <c r="E922" s="82"/>
    </row>
    <row r="923">
      <c r="A923" s="4"/>
      <c r="E923" s="82"/>
    </row>
    <row r="924">
      <c r="A924" s="4"/>
      <c r="E924" s="82"/>
    </row>
    <row r="925">
      <c r="A925" s="4"/>
      <c r="E925" s="82"/>
    </row>
    <row r="926">
      <c r="A926" s="4"/>
      <c r="E926" s="82"/>
    </row>
    <row r="927">
      <c r="A927" s="4"/>
      <c r="E927" s="82"/>
    </row>
    <row r="928">
      <c r="A928" s="4"/>
      <c r="E928" s="82"/>
    </row>
    <row r="929">
      <c r="A929" s="4"/>
      <c r="E929" s="82"/>
    </row>
    <row r="930">
      <c r="A930" s="4"/>
      <c r="E930" s="82"/>
    </row>
    <row r="931">
      <c r="A931" s="4"/>
      <c r="E931" s="82"/>
    </row>
    <row r="932">
      <c r="A932" s="4"/>
      <c r="E932" s="82"/>
    </row>
    <row r="933">
      <c r="A933" s="4"/>
      <c r="E933" s="82"/>
    </row>
    <row r="934">
      <c r="A934" s="4"/>
      <c r="E934" s="82"/>
    </row>
    <row r="935">
      <c r="A935" s="4"/>
      <c r="E935" s="82"/>
    </row>
    <row r="936">
      <c r="A936" s="4"/>
      <c r="E936" s="82"/>
    </row>
    <row r="937">
      <c r="A937" s="4"/>
      <c r="E937" s="82"/>
    </row>
    <row r="938">
      <c r="A938" s="4"/>
      <c r="E938" s="82"/>
    </row>
    <row r="939">
      <c r="A939" s="4"/>
      <c r="E939" s="82"/>
    </row>
    <row r="940">
      <c r="A940" s="4"/>
      <c r="E940" s="82"/>
    </row>
    <row r="941">
      <c r="A941" s="4"/>
      <c r="E941" s="82"/>
    </row>
    <row r="942">
      <c r="A942" s="4"/>
      <c r="E942" s="82"/>
    </row>
    <row r="943">
      <c r="A943" s="4"/>
      <c r="E943" s="82"/>
    </row>
    <row r="944">
      <c r="A944" s="4"/>
      <c r="E944" s="82"/>
    </row>
    <row r="945">
      <c r="A945" s="4"/>
      <c r="E945" s="82"/>
    </row>
    <row r="946">
      <c r="A946" s="4"/>
      <c r="E946" s="82"/>
    </row>
    <row r="947">
      <c r="A947" s="4"/>
      <c r="E947" s="82"/>
    </row>
    <row r="948">
      <c r="A948" s="4"/>
      <c r="E948" s="82"/>
    </row>
    <row r="949">
      <c r="A949" s="4"/>
      <c r="E949" s="82"/>
    </row>
    <row r="950">
      <c r="A950" s="4"/>
      <c r="E950" s="82"/>
    </row>
    <row r="951">
      <c r="A951" s="4"/>
      <c r="E951" s="82"/>
    </row>
    <row r="952">
      <c r="A952" s="4"/>
      <c r="E952" s="82"/>
    </row>
    <row r="953">
      <c r="A953" s="4"/>
      <c r="E953" s="82"/>
    </row>
    <row r="954">
      <c r="A954" s="4"/>
      <c r="E954" s="82"/>
    </row>
    <row r="955">
      <c r="A955" s="4"/>
      <c r="E955" s="82"/>
    </row>
    <row r="956">
      <c r="A956" s="4"/>
      <c r="E956" s="82"/>
    </row>
    <row r="957">
      <c r="A957" s="4"/>
      <c r="E957" s="82"/>
    </row>
    <row r="958">
      <c r="A958" s="4"/>
      <c r="E958" s="82"/>
    </row>
    <row r="959">
      <c r="A959" s="4"/>
      <c r="E959" s="82"/>
    </row>
    <row r="960">
      <c r="A960" s="4"/>
      <c r="E960" s="82"/>
    </row>
    <row r="961">
      <c r="A961" s="4"/>
      <c r="E961" s="82"/>
    </row>
    <row r="962">
      <c r="A962" s="4"/>
      <c r="E962" s="82"/>
    </row>
    <row r="963">
      <c r="A963" s="4"/>
      <c r="E963" s="82"/>
    </row>
    <row r="964">
      <c r="A964" s="4"/>
      <c r="E964" s="82"/>
    </row>
    <row r="965">
      <c r="A965" s="4"/>
      <c r="E965" s="82"/>
    </row>
    <row r="966">
      <c r="A966" s="4"/>
      <c r="E966" s="82"/>
    </row>
    <row r="967">
      <c r="A967" s="4"/>
      <c r="E967" s="82"/>
    </row>
    <row r="968">
      <c r="A968" s="4"/>
      <c r="E968" s="82"/>
    </row>
    <row r="969">
      <c r="A969" s="4"/>
      <c r="E969" s="82"/>
    </row>
    <row r="970">
      <c r="A970" s="4"/>
      <c r="E970" s="82"/>
    </row>
    <row r="971">
      <c r="A971" s="4"/>
      <c r="E971" s="82"/>
    </row>
    <row r="972">
      <c r="A972" s="4"/>
      <c r="E972" s="82"/>
    </row>
    <row r="973">
      <c r="A973" s="4"/>
      <c r="E973" s="82"/>
    </row>
    <row r="974">
      <c r="A974" s="4"/>
      <c r="E974" s="82"/>
    </row>
    <row r="975">
      <c r="A975" s="4"/>
      <c r="E975" s="82"/>
    </row>
    <row r="976">
      <c r="A976" s="4"/>
      <c r="E976" s="82"/>
    </row>
    <row r="977">
      <c r="A977" s="4"/>
      <c r="E977" s="82"/>
    </row>
    <row r="978">
      <c r="A978" s="4"/>
      <c r="E978" s="82"/>
    </row>
    <row r="979">
      <c r="A979" s="4"/>
      <c r="E979" s="82"/>
    </row>
    <row r="980">
      <c r="A980" s="4"/>
      <c r="E980" s="82"/>
    </row>
    <row r="981">
      <c r="A981" s="4"/>
      <c r="E981" s="82"/>
    </row>
    <row r="982">
      <c r="A982" s="4"/>
      <c r="E982" s="82"/>
    </row>
    <row r="983">
      <c r="A983" s="4"/>
      <c r="E983" s="82"/>
    </row>
    <row r="984">
      <c r="A984" s="4"/>
      <c r="E984" s="82"/>
    </row>
    <row r="985">
      <c r="A985" s="4"/>
      <c r="E985" s="82"/>
    </row>
    <row r="986">
      <c r="A986" s="4"/>
      <c r="E986" s="82"/>
    </row>
    <row r="987">
      <c r="A987" s="4"/>
      <c r="E987" s="82"/>
    </row>
    <row r="988">
      <c r="A988" s="4"/>
      <c r="E988" s="82"/>
    </row>
    <row r="989">
      <c r="A989" s="4"/>
      <c r="E989" s="82"/>
    </row>
    <row r="990">
      <c r="A990" s="4"/>
      <c r="E990" s="82"/>
    </row>
    <row r="991">
      <c r="A991" s="4"/>
      <c r="E991" s="82"/>
    </row>
    <row r="992">
      <c r="A992" s="4"/>
      <c r="E992" s="82"/>
    </row>
    <row r="993">
      <c r="A993" s="4"/>
      <c r="E993" s="82"/>
    </row>
    <row r="994">
      <c r="A994" s="4"/>
      <c r="E994" s="82"/>
    </row>
    <row r="995">
      <c r="A995" s="4"/>
      <c r="E995" s="82"/>
    </row>
    <row r="996">
      <c r="A996" s="4"/>
      <c r="E996" s="82"/>
    </row>
    <row r="997">
      <c r="A997" s="4"/>
      <c r="E997" s="82"/>
    </row>
    <row r="998">
      <c r="A998" s="4"/>
      <c r="E998" s="82"/>
    </row>
    <row r="999">
      <c r="A999" s="4"/>
      <c r="E999" s="82"/>
    </row>
    <row r="1000">
      <c r="A1000" s="4"/>
      <c r="E1000" s="82"/>
    </row>
    <row r="1001">
      <c r="A1001" s="4"/>
      <c r="E1001" s="82"/>
    </row>
    <row r="1002">
      <c r="A1002" s="4"/>
      <c r="E1002" s="82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2">
    <cfRule type="expression" dxfId="0" priority="3">
      <formula>COUNTIF(INDIRECT("DB!C:C"), A3)&gt;0
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14.25"/>
    <col customWidth="1" min="5" max="5" width="20.5"/>
  </cols>
  <sheetData>
    <row r="1">
      <c r="A1" s="1" t="s">
        <v>647</v>
      </c>
      <c r="B1" s="80">
        <f>COUNTIF(A3:A1002,"*L4*")</f>
        <v>2</v>
      </c>
      <c r="C1" s="1"/>
      <c r="D1" s="81">
        <f>MAIN!C2</f>
        <v>46154</v>
      </c>
      <c r="E1" s="82"/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4" t="str">
        <f>IFERROR(__xludf.DUMMYFUNCTION("QUERY(Master!A2:B1002, ""SELECT A, B WHERE A STARTS WITH 'L4-00B'"", 0)"),"L4-00B-04CFF")</f>
        <v>L4-00B-04CFF</v>
      </c>
      <c r="B3" s="4" t="str">
        <f>IFERROR(__xludf.DUMMYFUNCTION("""COMPUTED_VALUE"""),"Muntinlupa National High School")</f>
        <v>Muntinlupa National High School</v>
      </c>
      <c r="C3" s="82" t="str">
        <f t="array" ref="C3">XLOOKUP(A3,DB!C:C,DB!K:K)</f>
        <v>Replaced AP</v>
      </c>
      <c r="D3" s="73">
        <f t="array" ref="D3">XLOOKUP(A3,DB!C:C,DB!B:B)</f>
        <v>46183</v>
      </c>
      <c r="E3" s="82" t="str">
        <f t="array" ref="E3">XLOOKUP(A3,DB!C:C,DB!F:F,"" )</f>
        <v>14.388728, 121.027980</v>
      </c>
    </row>
    <row r="4">
      <c r="A4" s="4" t="str">
        <f>IFERROR(__xludf.DUMMYFUNCTION("""COMPUTED_VALUE"""),"L4-00B-00686")</f>
        <v>L4-00B-00686</v>
      </c>
      <c r="B4" s="4" t="str">
        <f>IFERROR(__xludf.DUMMYFUNCTION("""COMPUTED_VALUE"""),"Soldiers' Hills Elementary School  ")</f>
        <v>Soldiers' Hills Elementary School  </v>
      </c>
      <c r="C4" s="82" t="str">
        <f t="array" ref="C4">XLOOKUP(A4,DB!C:C,DB!K:K)</f>
        <v>(AP DEFECTIVE)
Blinking LOS</v>
      </c>
      <c r="D4" s="25">
        <f t="array" ref="D4">XLOOKUP(A4,DB!C:C,DB!B:B)</f>
        <v>46183</v>
      </c>
      <c r="E4" s="82" t="str">
        <f t="array" ref="E4">XLOOKUP(A4,DB!C:C,DB!F:F,"" )</f>
        <v>14.400877, 121.036763</v>
      </c>
    </row>
    <row r="5">
      <c r="A5" s="4"/>
      <c r="C5" s="82" t="str">
        <f t="array" ref="C5">XLOOKUP(A5,DB!C:C,DB!K:K)</f>
        <v>#N/A</v>
      </c>
      <c r="D5" s="4" t="str">
        <f t="array" ref="D5">XLOOKUP(A5,DB!C:C,DB!B:B)</f>
        <v>#N/A</v>
      </c>
      <c r="E5" s="82" t="str">
        <f t="array" ref="E5">XLOOKUP(A5,DB!C:C,DB!F:F,"" )</f>
        <v/>
      </c>
    </row>
    <row r="6">
      <c r="A6" s="4"/>
      <c r="C6" s="82" t="str">
        <f t="array" ref="C6">XLOOKUP(A6,DB!C:C,DB!K:K)</f>
        <v>#N/A</v>
      </c>
      <c r="D6" s="4" t="str">
        <f t="array" ref="D6">XLOOKUP(A6,DB!C:C,DB!B:B)</f>
        <v>#N/A</v>
      </c>
      <c r="E6" s="82" t="str">
        <f t="array" ref="E6">XLOOKUP(A6,DB!C:C,DB!F:F,"" )</f>
        <v/>
      </c>
    </row>
    <row r="7">
      <c r="A7" s="4"/>
      <c r="C7" s="82" t="str">
        <f t="array" ref="C7">XLOOKUP(A7,DB!C:C,DB!K:K)</f>
        <v>#N/A</v>
      </c>
      <c r="D7" s="4" t="str">
        <f t="array" ref="D7">XLOOKUP(A7,DB!C:C,DB!B:B)</f>
        <v>#N/A</v>
      </c>
      <c r="E7" s="82" t="str">
        <f t="array" ref="E7">XLOOKUP(A7,DB!C:C,DB!F:F,"" )</f>
        <v/>
      </c>
    </row>
    <row r="8">
      <c r="A8" s="4"/>
      <c r="C8" s="82" t="str">
        <f t="array" ref="C8">XLOOKUP(A8,DB!C:C,DB!K:K)</f>
        <v>#N/A</v>
      </c>
      <c r="D8" s="4" t="str">
        <f t="array" ref="D8">XLOOKUP(A8,DB!C:C,DB!B:B)</f>
        <v>#N/A</v>
      </c>
      <c r="E8" s="82"/>
    </row>
    <row r="9">
      <c r="A9" s="4"/>
      <c r="C9" s="82" t="str">
        <f t="array" ref="C9">XLOOKUP(A9,DB!C:C,DB!K:K)</f>
        <v>#N/A</v>
      </c>
      <c r="D9" s="4" t="str">
        <f t="array" ref="D9">XLOOKUP(A9,DB!C:C,DB!B:B)</f>
        <v>#N/A</v>
      </c>
      <c r="E9" s="82"/>
    </row>
    <row r="10">
      <c r="A10" s="4"/>
      <c r="C10" s="82"/>
      <c r="E10" s="82"/>
    </row>
    <row r="11">
      <c r="A11" s="4"/>
      <c r="C11" s="82"/>
      <c r="E11" s="82"/>
    </row>
    <row r="12">
      <c r="A12" s="4"/>
      <c r="C12" s="82"/>
      <c r="E12" s="82"/>
    </row>
    <row r="13">
      <c r="A13" s="4"/>
      <c r="C13" s="82"/>
      <c r="E13" s="82"/>
    </row>
    <row r="14">
      <c r="A14" s="4"/>
      <c r="C14" s="82"/>
      <c r="E14" s="82"/>
    </row>
    <row r="15">
      <c r="A15" s="4"/>
      <c r="C15" s="82"/>
      <c r="E15" s="82"/>
    </row>
    <row r="16">
      <c r="A16" s="4"/>
      <c r="C16" s="82"/>
      <c r="E16" s="82"/>
    </row>
    <row r="17">
      <c r="A17" s="4"/>
      <c r="C17" s="82"/>
      <c r="E17" s="82"/>
    </row>
    <row r="18">
      <c r="A18" s="4"/>
      <c r="C18" s="82"/>
      <c r="E18" s="82"/>
    </row>
    <row r="19">
      <c r="A19" s="4"/>
      <c r="C19" s="82"/>
      <c r="E19" s="82"/>
    </row>
    <row r="20">
      <c r="A20" s="4"/>
      <c r="C20" s="82"/>
      <c r="E20" s="82"/>
    </row>
    <row r="21">
      <c r="A21" s="4"/>
      <c r="C21" s="82"/>
      <c r="E21" s="82"/>
    </row>
    <row r="22">
      <c r="A22" s="4"/>
      <c r="C22" s="82"/>
      <c r="E22" s="82"/>
    </row>
    <row r="23">
      <c r="A23" s="4"/>
      <c r="C23" s="82"/>
      <c r="E23" s="82"/>
    </row>
    <row r="24">
      <c r="A24" s="4"/>
      <c r="C24" s="82"/>
      <c r="E24" s="82"/>
    </row>
    <row r="25">
      <c r="A25" s="4"/>
      <c r="C25" s="82"/>
      <c r="E25" s="82"/>
    </row>
    <row r="26">
      <c r="A26" s="4"/>
      <c r="C26" s="82"/>
      <c r="E26" s="82"/>
    </row>
    <row r="27">
      <c r="A27" s="4"/>
      <c r="C27" s="82"/>
      <c r="E27" s="82"/>
    </row>
    <row r="28">
      <c r="A28" s="4"/>
      <c r="C28" s="82"/>
      <c r="E28" s="82"/>
    </row>
    <row r="29">
      <c r="A29" s="4"/>
      <c r="C29" s="82"/>
      <c r="E29" s="82"/>
    </row>
    <row r="30">
      <c r="A30" s="4"/>
      <c r="C30" s="82"/>
      <c r="E30" s="82"/>
    </row>
    <row r="31">
      <c r="A31" s="4"/>
      <c r="C31" s="82"/>
      <c r="E31" s="82"/>
    </row>
    <row r="32">
      <c r="A32" s="4"/>
      <c r="C32" s="82"/>
      <c r="E32" s="82"/>
    </row>
    <row r="33">
      <c r="A33" s="4"/>
      <c r="C33" s="82"/>
      <c r="E33" s="82"/>
    </row>
    <row r="34">
      <c r="A34" s="4"/>
      <c r="C34" s="82"/>
      <c r="E34" s="82"/>
    </row>
    <row r="35">
      <c r="A35" s="4"/>
      <c r="C35" s="82"/>
      <c r="E35" s="82"/>
    </row>
    <row r="36">
      <c r="A36" s="4"/>
      <c r="C36" s="82"/>
      <c r="E36" s="82"/>
    </row>
    <row r="37">
      <c r="A37" s="4"/>
      <c r="C37" s="82"/>
      <c r="E37" s="82"/>
    </row>
    <row r="38">
      <c r="A38" s="4"/>
      <c r="C38" s="82"/>
      <c r="E38" s="82"/>
    </row>
    <row r="39">
      <c r="A39" s="4"/>
      <c r="C39" s="82"/>
      <c r="E39" s="82"/>
    </row>
    <row r="40">
      <c r="A40" s="4"/>
      <c r="C40" s="82"/>
      <c r="E40" s="82"/>
    </row>
    <row r="41">
      <c r="A41" s="4"/>
      <c r="C41" s="82"/>
      <c r="E41" s="82"/>
    </row>
    <row r="42">
      <c r="A42" s="4"/>
      <c r="C42" s="82"/>
      <c r="E42" s="82"/>
    </row>
    <row r="43">
      <c r="A43" s="4"/>
      <c r="C43" s="82"/>
      <c r="E43" s="82"/>
    </row>
    <row r="44">
      <c r="A44" s="4"/>
      <c r="C44" s="82"/>
      <c r="E44" s="82"/>
    </row>
    <row r="45">
      <c r="A45" s="4"/>
      <c r="C45" s="82"/>
      <c r="E45" s="82"/>
    </row>
    <row r="46">
      <c r="A46" s="4"/>
      <c r="C46" s="82"/>
      <c r="E46" s="82"/>
    </row>
    <row r="47">
      <c r="A47" s="4"/>
      <c r="C47" s="82"/>
      <c r="E47" s="82"/>
    </row>
    <row r="48">
      <c r="A48" s="4"/>
      <c r="C48" s="82"/>
      <c r="E48" s="82"/>
    </row>
    <row r="49">
      <c r="A49" s="4"/>
      <c r="C49" s="82"/>
      <c r="E49" s="82"/>
    </row>
    <row r="50">
      <c r="A50" s="4"/>
      <c r="C50" s="82"/>
      <c r="E50" s="82"/>
    </row>
    <row r="51">
      <c r="A51" s="4"/>
      <c r="C51" s="82"/>
      <c r="E51" s="82"/>
    </row>
    <row r="52">
      <c r="A52" s="4"/>
      <c r="C52" s="82"/>
      <c r="E52" s="82"/>
    </row>
    <row r="53">
      <c r="A53" s="4"/>
      <c r="C53" s="82"/>
      <c r="E53" s="82"/>
    </row>
    <row r="54">
      <c r="A54" s="4"/>
      <c r="C54" s="82"/>
      <c r="E54" s="82"/>
    </row>
    <row r="55">
      <c r="A55" s="4"/>
      <c r="C55" s="82"/>
      <c r="E55" s="82"/>
    </row>
    <row r="56">
      <c r="A56" s="4"/>
      <c r="C56" s="82"/>
      <c r="E56" s="82"/>
    </row>
    <row r="57">
      <c r="A57" s="4"/>
      <c r="C57" s="82"/>
      <c r="E57" s="82"/>
    </row>
    <row r="58">
      <c r="A58" s="4"/>
      <c r="C58" s="82"/>
      <c r="E58" s="82"/>
    </row>
    <row r="59">
      <c r="A59" s="4"/>
      <c r="C59" s="82"/>
      <c r="E59" s="82"/>
    </row>
    <row r="60">
      <c r="A60" s="4"/>
      <c r="C60" s="82"/>
      <c r="E60" s="82"/>
    </row>
    <row r="61">
      <c r="A61" s="4"/>
      <c r="C61" s="82"/>
      <c r="E61" s="82"/>
    </row>
    <row r="62">
      <c r="A62" s="4"/>
      <c r="C62" s="82"/>
      <c r="E62" s="82"/>
    </row>
    <row r="63">
      <c r="A63" s="4"/>
      <c r="C63" s="82"/>
      <c r="E63" s="82"/>
    </row>
    <row r="64">
      <c r="A64" s="4"/>
      <c r="C64" s="82"/>
      <c r="E64" s="82"/>
    </row>
    <row r="65">
      <c r="A65" s="4"/>
      <c r="C65" s="82"/>
      <c r="E65" s="82"/>
    </row>
    <row r="66">
      <c r="A66" s="4"/>
      <c r="C66" s="82"/>
      <c r="E66" s="82"/>
    </row>
    <row r="67">
      <c r="A67" s="4"/>
      <c r="C67" s="82"/>
      <c r="E67" s="82"/>
    </row>
    <row r="68">
      <c r="A68" s="4"/>
      <c r="C68" s="82"/>
      <c r="E68" s="82"/>
    </row>
    <row r="69">
      <c r="A69" s="4"/>
      <c r="C69" s="82"/>
      <c r="E69" s="82"/>
    </row>
    <row r="70">
      <c r="A70" s="4"/>
      <c r="C70" s="82"/>
      <c r="E70" s="82"/>
    </row>
    <row r="71">
      <c r="A71" s="4"/>
      <c r="C71" s="82"/>
      <c r="E71" s="82"/>
    </row>
    <row r="72">
      <c r="A72" s="4"/>
      <c r="C72" s="82"/>
      <c r="E72" s="82"/>
    </row>
    <row r="73">
      <c r="A73" s="4"/>
      <c r="C73" s="82"/>
      <c r="E73" s="82"/>
    </row>
    <row r="74">
      <c r="A74" s="4"/>
      <c r="C74" s="82"/>
      <c r="E74" s="82"/>
    </row>
    <row r="75">
      <c r="A75" s="4"/>
      <c r="C75" s="82"/>
      <c r="E75" s="82"/>
    </row>
    <row r="76">
      <c r="A76" s="4"/>
      <c r="C76" s="82"/>
      <c r="E76" s="82"/>
    </row>
    <row r="77">
      <c r="A77" s="4"/>
      <c r="C77" s="82"/>
      <c r="E77" s="82"/>
    </row>
    <row r="78">
      <c r="A78" s="4"/>
      <c r="C78" s="82"/>
      <c r="E78" s="82"/>
    </row>
    <row r="79">
      <c r="A79" s="4"/>
      <c r="C79" s="82"/>
      <c r="E79" s="82"/>
    </row>
    <row r="80">
      <c r="A80" s="4"/>
      <c r="C80" s="82"/>
      <c r="E80" s="82"/>
    </row>
    <row r="81">
      <c r="A81" s="4"/>
      <c r="C81" s="82"/>
      <c r="E81" s="82"/>
    </row>
    <row r="82">
      <c r="A82" s="4"/>
      <c r="C82" s="82"/>
      <c r="E82" s="82"/>
    </row>
    <row r="83">
      <c r="A83" s="4"/>
      <c r="C83" s="82"/>
      <c r="E83" s="82"/>
    </row>
    <row r="84">
      <c r="A84" s="4"/>
      <c r="C84" s="82"/>
      <c r="E84" s="82"/>
    </row>
    <row r="85">
      <c r="A85" s="4"/>
      <c r="C85" s="82"/>
      <c r="E85" s="82"/>
    </row>
    <row r="86">
      <c r="A86" s="4"/>
      <c r="C86" s="82"/>
      <c r="E86" s="82"/>
    </row>
    <row r="87">
      <c r="A87" s="4"/>
      <c r="C87" s="82"/>
      <c r="E87" s="82"/>
    </row>
    <row r="88">
      <c r="A88" s="4"/>
      <c r="C88" s="82"/>
      <c r="E88" s="82"/>
    </row>
    <row r="89">
      <c r="A89" s="4"/>
      <c r="C89" s="82"/>
      <c r="E89" s="82"/>
    </row>
    <row r="90">
      <c r="A90" s="4"/>
      <c r="C90" s="82"/>
      <c r="E90" s="82"/>
    </row>
    <row r="91">
      <c r="A91" s="4"/>
      <c r="C91" s="82"/>
      <c r="E91" s="82"/>
    </row>
    <row r="92">
      <c r="A92" s="4"/>
      <c r="C92" s="82"/>
      <c r="E92" s="82"/>
    </row>
    <row r="93">
      <c r="A93" s="4"/>
      <c r="C93" s="82"/>
      <c r="E93" s="82"/>
    </row>
    <row r="94">
      <c r="A94" s="4"/>
      <c r="C94" s="82"/>
      <c r="E94" s="82"/>
    </row>
    <row r="95">
      <c r="A95" s="4"/>
      <c r="C95" s="82"/>
      <c r="E95" s="82"/>
    </row>
    <row r="96">
      <c r="A96" s="4"/>
      <c r="C96" s="82"/>
      <c r="E96" s="82"/>
    </row>
    <row r="97">
      <c r="A97" s="4"/>
      <c r="C97" s="82"/>
      <c r="E97" s="82"/>
    </row>
    <row r="98">
      <c r="A98" s="4"/>
      <c r="C98" s="82"/>
      <c r="E98" s="82"/>
    </row>
    <row r="99">
      <c r="A99" s="4"/>
      <c r="C99" s="82"/>
      <c r="E99" s="82"/>
    </row>
    <row r="100">
      <c r="A100" s="4"/>
      <c r="C100" s="82"/>
      <c r="E100" s="82"/>
    </row>
    <row r="101">
      <c r="C101" s="82"/>
      <c r="E101" s="82"/>
    </row>
    <row r="102">
      <c r="C102" s="82"/>
      <c r="E102" s="82"/>
    </row>
    <row r="103">
      <c r="C103" s="82"/>
      <c r="E103" s="82"/>
    </row>
    <row r="104">
      <c r="C104" s="82"/>
      <c r="E104" s="82"/>
    </row>
    <row r="105">
      <c r="C105" s="82"/>
      <c r="E105" s="82"/>
    </row>
    <row r="106">
      <c r="C106" s="82"/>
      <c r="E106" s="82"/>
    </row>
    <row r="107">
      <c r="C107" s="82"/>
      <c r="E107" s="82"/>
    </row>
    <row r="108">
      <c r="C108" s="82"/>
      <c r="E108" s="82"/>
    </row>
    <row r="109">
      <c r="C109" s="82"/>
      <c r="E109" s="82"/>
    </row>
    <row r="110">
      <c r="C110" s="82"/>
      <c r="E110" s="82"/>
    </row>
    <row r="111">
      <c r="C111" s="82"/>
      <c r="E111" s="82"/>
    </row>
    <row r="112">
      <c r="C112" s="82"/>
      <c r="E112" s="82"/>
    </row>
    <row r="113">
      <c r="C113" s="82"/>
      <c r="E113" s="82"/>
    </row>
    <row r="114">
      <c r="C114" s="82"/>
      <c r="E114" s="82"/>
    </row>
    <row r="115">
      <c r="C115" s="82"/>
      <c r="E115" s="82"/>
    </row>
    <row r="116">
      <c r="C116" s="82"/>
      <c r="E116" s="82"/>
    </row>
    <row r="117">
      <c r="C117" s="82"/>
      <c r="E117" s="82"/>
    </row>
    <row r="118">
      <c r="C118" s="82"/>
      <c r="E118" s="82"/>
    </row>
    <row r="119">
      <c r="C119" s="82"/>
      <c r="E119" s="82"/>
    </row>
    <row r="120">
      <c r="C120" s="82"/>
      <c r="E120" s="82"/>
    </row>
    <row r="121">
      <c r="C121" s="82"/>
      <c r="E121" s="82"/>
    </row>
    <row r="122">
      <c r="C122" s="82"/>
      <c r="E122" s="82"/>
    </row>
    <row r="123">
      <c r="C123" s="82"/>
      <c r="E123" s="82"/>
    </row>
    <row r="124">
      <c r="C124" s="82"/>
      <c r="E124" s="82"/>
    </row>
    <row r="125">
      <c r="C125" s="82"/>
      <c r="E125" s="82"/>
    </row>
    <row r="126">
      <c r="C126" s="82"/>
      <c r="E126" s="82"/>
    </row>
    <row r="127">
      <c r="C127" s="82"/>
      <c r="E127" s="82"/>
    </row>
    <row r="128">
      <c r="C128" s="82"/>
      <c r="E128" s="82"/>
    </row>
    <row r="129">
      <c r="C129" s="82"/>
      <c r="E129" s="82"/>
    </row>
    <row r="130">
      <c r="C130" s="82"/>
      <c r="E130" s="82"/>
    </row>
    <row r="131">
      <c r="C131" s="82"/>
      <c r="E131" s="82"/>
    </row>
    <row r="132">
      <c r="C132" s="82"/>
      <c r="E132" s="82"/>
    </row>
    <row r="133">
      <c r="C133" s="82"/>
      <c r="E133" s="82"/>
    </row>
    <row r="134">
      <c r="C134" s="82"/>
      <c r="E134" s="82"/>
    </row>
    <row r="135">
      <c r="C135" s="82"/>
      <c r="E135" s="82"/>
    </row>
    <row r="136">
      <c r="C136" s="82"/>
      <c r="E136" s="82"/>
    </row>
    <row r="137">
      <c r="C137" s="82"/>
      <c r="E137" s="82"/>
    </row>
    <row r="138">
      <c r="C138" s="82"/>
      <c r="E138" s="82"/>
    </row>
    <row r="139">
      <c r="C139" s="82"/>
      <c r="E139" s="82"/>
    </row>
    <row r="140">
      <c r="C140" s="82"/>
      <c r="E140" s="82"/>
    </row>
    <row r="141">
      <c r="C141" s="82"/>
      <c r="E141" s="82"/>
    </row>
    <row r="142">
      <c r="C142" s="82"/>
      <c r="E142" s="82"/>
    </row>
    <row r="143">
      <c r="C143" s="82"/>
      <c r="E143" s="82"/>
    </row>
    <row r="144">
      <c r="C144" s="82"/>
      <c r="E144" s="82"/>
    </row>
    <row r="145">
      <c r="C145" s="82"/>
      <c r="E145" s="82"/>
    </row>
    <row r="146">
      <c r="C146" s="82"/>
      <c r="E146" s="82"/>
    </row>
    <row r="147">
      <c r="C147" s="82"/>
      <c r="E147" s="82"/>
    </row>
    <row r="148">
      <c r="C148" s="82"/>
      <c r="E148" s="82"/>
    </row>
    <row r="149">
      <c r="C149" s="82"/>
      <c r="E149" s="82"/>
    </row>
    <row r="150">
      <c r="C150" s="82"/>
      <c r="E150" s="82"/>
    </row>
    <row r="151">
      <c r="C151" s="82"/>
      <c r="E151" s="82"/>
    </row>
    <row r="152">
      <c r="C152" s="82"/>
      <c r="E152" s="82"/>
    </row>
    <row r="153">
      <c r="C153" s="82"/>
      <c r="E153" s="82"/>
    </row>
    <row r="154">
      <c r="C154" s="82"/>
      <c r="E154" s="82"/>
    </row>
    <row r="155">
      <c r="C155" s="82"/>
      <c r="E155" s="82"/>
    </row>
    <row r="156">
      <c r="C156" s="82"/>
      <c r="E156" s="82"/>
    </row>
    <row r="157">
      <c r="C157" s="82"/>
      <c r="E157" s="82"/>
    </row>
    <row r="158">
      <c r="C158" s="82"/>
      <c r="E158" s="82"/>
    </row>
    <row r="159">
      <c r="C159" s="82"/>
      <c r="E159" s="82"/>
    </row>
    <row r="160">
      <c r="C160" s="82"/>
      <c r="E160" s="82"/>
    </row>
    <row r="161">
      <c r="C161" s="82"/>
      <c r="E161" s="82"/>
    </row>
    <row r="162">
      <c r="C162" s="82"/>
      <c r="E162" s="82"/>
    </row>
    <row r="163">
      <c r="C163" s="82"/>
      <c r="E163" s="82"/>
    </row>
    <row r="164">
      <c r="C164" s="82"/>
      <c r="E164" s="82"/>
    </row>
    <row r="165">
      <c r="C165" s="82"/>
      <c r="E165" s="82"/>
    </row>
    <row r="166">
      <c r="C166" s="82"/>
      <c r="E166" s="82"/>
    </row>
    <row r="167">
      <c r="C167" s="82"/>
      <c r="E167" s="82"/>
    </row>
    <row r="168">
      <c r="C168" s="82"/>
      <c r="E168" s="82"/>
    </row>
    <row r="169">
      <c r="C169" s="82"/>
      <c r="E169" s="82"/>
    </row>
    <row r="170">
      <c r="C170" s="82"/>
      <c r="E170" s="82"/>
    </row>
    <row r="171">
      <c r="C171" s="82"/>
      <c r="E171" s="82"/>
    </row>
    <row r="172">
      <c r="C172" s="82"/>
      <c r="E172" s="82"/>
    </row>
    <row r="173">
      <c r="C173" s="82"/>
      <c r="E173" s="82"/>
    </row>
    <row r="174">
      <c r="C174" s="82"/>
      <c r="E174" s="82"/>
    </row>
    <row r="175">
      <c r="C175" s="82"/>
      <c r="E175" s="82"/>
    </row>
    <row r="176">
      <c r="C176" s="82"/>
      <c r="E176" s="82"/>
    </row>
    <row r="177">
      <c r="C177" s="82"/>
      <c r="E177" s="82"/>
    </row>
    <row r="178">
      <c r="C178" s="82"/>
      <c r="E178" s="82"/>
    </row>
    <row r="179">
      <c r="C179" s="82"/>
      <c r="E179" s="82"/>
    </row>
    <row r="180">
      <c r="C180" s="82"/>
      <c r="E180" s="82"/>
    </row>
    <row r="181">
      <c r="C181" s="82"/>
      <c r="E181" s="82"/>
    </row>
    <row r="182">
      <c r="C182" s="82"/>
      <c r="E182" s="82"/>
    </row>
    <row r="183">
      <c r="C183" s="82"/>
      <c r="E183" s="82"/>
    </row>
    <row r="184">
      <c r="C184" s="82"/>
      <c r="E184" s="82"/>
    </row>
    <row r="185">
      <c r="C185" s="82"/>
      <c r="E185" s="82"/>
    </row>
    <row r="186">
      <c r="C186" s="82"/>
      <c r="E186" s="82"/>
    </row>
    <row r="187">
      <c r="C187" s="82"/>
      <c r="E187" s="82"/>
    </row>
    <row r="188">
      <c r="C188" s="82"/>
      <c r="E188" s="82"/>
    </row>
    <row r="189">
      <c r="C189" s="82"/>
      <c r="E189" s="82"/>
    </row>
    <row r="190">
      <c r="C190" s="82"/>
      <c r="E190" s="82"/>
    </row>
    <row r="191">
      <c r="C191" s="82"/>
      <c r="E191" s="82"/>
    </row>
    <row r="192">
      <c r="C192" s="82"/>
      <c r="E192" s="82"/>
    </row>
    <row r="193">
      <c r="C193" s="82"/>
      <c r="E193" s="82"/>
    </row>
    <row r="194">
      <c r="C194" s="82"/>
      <c r="E194" s="82"/>
    </row>
    <row r="195">
      <c r="C195" s="82"/>
      <c r="E195" s="82"/>
    </row>
    <row r="196">
      <c r="C196" s="82"/>
      <c r="E196" s="82"/>
    </row>
    <row r="197">
      <c r="C197" s="82"/>
      <c r="E197" s="82"/>
    </row>
    <row r="198">
      <c r="C198" s="82"/>
      <c r="E198" s="82"/>
    </row>
    <row r="199">
      <c r="C199" s="82"/>
      <c r="E199" s="82"/>
    </row>
    <row r="200">
      <c r="C200" s="82"/>
      <c r="E200" s="82"/>
    </row>
    <row r="201">
      <c r="C201" s="82"/>
      <c r="E201" s="82"/>
    </row>
    <row r="202">
      <c r="C202" s="82"/>
      <c r="E202" s="82"/>
    </row>
    <row r="203">
      <c r="C203" s="82"/>
      <c r="E203" s="82"/>
    </row>
    <row r="204">
      <c r="C204" s="82"/>
      <c r="E204" s="82"/>
    </row>
    <row r="205">
      <c r="C205" s="82"/>
      <c r="E205" s="82"/>
    </row>
    <row r="206">
      <c r="C206" s="82"/>
      <c r="E206" s="82"/>
    </row>
    <row r="207">
      <c r="C207" s="82"/>
      <c r="E207" s="82"/>
    </row>
    <row r="208">
      <c r="C208" s="82"/>
      <c r="E208" s="82"/>
    </row>
    <row r="209">
      <c r="C209" s="82"/>
      <c r="E209" s="82"/>
    </row>
    <row r="210">
      <c r="C210" s="82"/>
      <c r="E210" s="82"/>
    </row>
    <row r="211">
      <c r="C211" s="82"/>
      <c r="E211" s="82"/>
    </row>
    <row r="212">
      <c r="C212" s="82"/>
      <c r="E212" s="82"/>
    </row>
    <row r="213">
      <c r="C213" s="82"/>
      <c r="E213" s="82"/>
    </row>
    <row r="214">
      <c r="C214" s="82"/>
      <c r="E214" s="82"/>
    </row>
    <row r="215">
      <c r="C215" s="82"/>
      <c r="E215" s="82"/>
    </row>
    <row r="216">
      <c r="C216" s="82"/>
      <c r="E216" s="82"/>
    </row>
    <row r="217">
      <c r="C217" s="82"/>
      <c r="E217" s="82"/>
    </row>
    <row r="218">
      <c r="C218" s="82"/>
      <c r="E218" s="82"/>
    </row>
    <row r="219">
      <c r="C219" s="82"/>
      <c r="E219" s="82"/>
    </row>
    <row r="220">
      <c r="C220" s="82"/>
      <c r="E220" s="82"/>
    </row>
    <row r="221">
      <c r="C221" s="82"/>
      <c r="E221" s="82"/>
    </row>
    <row r="222">
      <c r="C222" s="82"/>
      <c r="E222" s="82"/>
    </row>
    <row r="223">
      <c r="C223" s="82"/>
      <c r="E223" s="82"/>
    </row>
    <row r="224">
      <c r="C224" s="82"/>
      <c r="E224" s="82"/>
    </row>
    <row r="225">
      <c r="C225" s="82"/>
      <c r="E225" s="82"/>
    </row>
    <row r="226">
      <c r="C226" s="82"/>
      <c r="E226" s="82"/>
    </row>
    <row r="227">
      <c r="C227" s="82"/>
      <c r="E227" s="82"/>
    </row>
    <row r="228">
      <c r="C228" s="82"/>
      <c r="E228" s="82"/>
    </row>
    <row r="229">
      <c r="C229" s="82"/>
      <c r="E229" s="82"/>
    </row>
    <row r="230">
      <c r="C230" s="82"/>
      <c r="E230" s="82"/>
    </row>
    <row r="231">
      <c r="C231" s="82"/>
      <c r="E231" s="82"/>
    </row>
    <row r="232">
      <c r="C232" s="82"/>
      <c r="E232" s="82"/>
    </row>
    <row r="233">
      <c r="C233" s="82"/>
      <c r="E233" s="82"/>
    </row>
    <row r="234">
      <c r="C234" s="82"/>
      <c r="E234" s="82"/>
    </row>
    <row r="235">
      <c r="C235" s="82"/>
      <c r="E235" s="82"/>
    </row>
    <row r="236">
      <c r="C236" s="82"/>
      <c r="E236" s="82"/>
    </row>
    <row r="237">
      <c r="C237" s="82"/>
      <c r="E237" s="82"/>
    </row>
    <row r="238">
      <c r="C238" s="82"/>
      <c r="E238" s="82"/>
    </row>
    <row r="239">
      <c r="C239" s="82"/>
      <c r="E239" s="82"/>
    </row>
    <row r="240">
      <c r="C240" s="82"/>
      <c r="E240" s="82"/>
    </row>
    <row r="241">
      <c r="C241" s="82"/>
      <c r="E241" s="82"/>
    </row>
    <row r="242">
      <c r="C242" s="82"/>
      <c r="E242" s="82"/>
    </row>
    <row r="243">
      <c r="C243" s="82"/>
      <c r="E243" s="82"/>
    </row>
    <row r="244">
      <c r="C244" s="82"/>
      <c r="E244" s="82"/>
    </row>
    <row r="245">
      <c r="C245" s="82"/>
      <c r="E245" s="82"/>
    </row>
    <row r="246">
      <c r="C246" s="82"/>
      <c r="E246" s="82"/>
    </row>
    <row r="247">
      <c r="C247" s="82"/>
      <c r="E247" s="82"/>
    </row>
    <row r="248">
      <c r="C248" s="82"/>
      <c r="E248" s="82"/>
    </row>
    <row r="249">
      <c r="C249" s="82"/>
      <c r="E249" s="82"/>
    </row>
    <row r="250">
      <c r="C250" s="82"/>
      <c r="E250" s="82"/>
    </row>
    <row r="251">
      <c r="C251" s="82"/>
      <c r="E251" s="82"/>
    </row>
    <row r="252">
      <c r="C252" s="82"/>
      <c r="E252" s="82"/>
    </row>
    <row r="253">
      <c r="C253" s="82"/>
      <c r="E253" s="82"/>
    </row>
    <row r="254">
      <c r="C254" s="82"/>
      <c r="E254" s="82"/>
    </row>
    <row r="255">
      <c r="C255" s="82"/>
      <c r="E255" s="82"/>
    </row>
    <row r="256">
      <c r="C256" s="82"/>
      <c r="E256" s="82"/>
    </row>
    <row r="257">
      <c r="C257" s="82"/>
      <c r="E257" s="82"/>
    </row>
    <row r="258">
      <c r="C258" s="82"/>
      <c r="E258" s="82"/>
    </row>
    <row r="259">
      <c r="C259" s="82"/>
      <c r="E259" s="82"/>
    </row>
    <row r="260">
      <c r="C260" s="82"/>
      <c r="E260" s="82"/>
    </row>
    <row r="261">
      <c r="C261" s="82"/>
      <c r="E261" s="82"/>
    </row>
    <row r="262">
      <c r="C262" s="82"/>
      <c r="E262" s="82"/>
    </row>
    <row r="263">
      <c r="C263" s="82"/>
      <c r="E263" s="82"/>
    </row>
    <row r="264">
      <c r="C264" s="82"/>
      <c r="E264" s="82"/>
    </row>
    <row r="265">
      <c r="C265" s="82"/>
      <c r="E265" s="82"/>
    </row>
    <row r="266">
      <c r="C266" s="82"/>
      <c r="E266" s="82"/>
    </row>
    <row r="267">
      <c r="C267" s="82"/>
      <c r="E267" s="82"/>
    </row>
    <row r="268">
      <c r="C268" s="82"/>
      <c r="E268" s="82"/>
    </row>
    <row r="269">
      <c r="C269" s="82"/>
      <c r="E269" s="82"/>
    </row>
    <row r="270">
      <c r="C270" s="82"/>
      <c r="E270" s="82"/>
    </row>
    <row r="271">
      <c r="C271" s="82"/>
      <c r="E271" s="82"/>
    </row>
    <row r="272">
      <c r="C272" s="82"/>
      <c r="E272" s="82"/>
    </row>
    <row r="273">
      <c r="C273" s="82"/>
      <c r="E273" s="82"/>
    </row>
    <row r="274">
      <c r="C274" s="82"/>
      <c r="E274" s="82"/>
    </row>
    <row r="275">
      <c r="C275" s="82"/>
      <c r="E275" s="82"/>
    </row>
    <row r="276">
      <c r="C276" s="82"/>
      <c r="E276" s="82"/>
    </row>
    <row r="277">
      <c r="C277" s="82"/>
      <c r="E277" s="82"/>
    </row>
    <row r="278">
      <c r="C278" s="82"/>
      <c r="E278" s="82"/>
    </row>
    <row r="279">
      <c r="C279" s="82"/>
      <c r="E279" s="82"/>
    </row>
    <row r="280">
      <c r="C280" s="82"/>
      <c r="E280" s="82"/>
    </row>
    <row r="281">
      <c r="C281" s="82"/>
      <c r="E281" s="82"/>
    </row>
    <row r="282">
      <c r="C282" s="82"/>
      <c r="E282" s="82"/>
    </row>
    <row r="283">
      <c r="C283" s="82"/>
      <c r="E283" s="82"/>
    </row>
    <row r="284">
      <c r="C284" s="82"/>
      <c r="E284" s="82"/>
    </row>
    <row r="285">
      <c r="C285" s="82"/>
      <c r="E285" s="82"/>
    </row>
    <row r="286">
      <c r="C286" s="82"/>
      <c r="E286" s="82"/>
    </row>
    <row r="287">
      <c r="C287" s="82"/>
      <c r="E287" s="82"/>
    </row>
    <row r="288">
      <c r="C288" s="82"/>
      <c r="E288" s="82"/>
    </row>
    <row r="289">
      <c r="C289" s="82"/>
      <c r="E289" s="82"/>
    </row>
    <row r="290">
      <c r="C290" s="82"/>
      <c r="E290" s="82"/>
    </row>
    <row r="291">
      <c r="C291" s="82"/>
      <c r="E291" s="82"/>
    </row>
    <row r="292">
      <c r="C292" s="82"/>
      <c r="E292" s="82"/>
    </row>
    <row r="293">
      <c r="C293" s="82"/>
      <c r="E293" s="82"/>
    </row>
    <row r="294">
      <c r="C294" s="82"/>
      <c r="E294" s="82"/>
    </row>
    <row r="295">
      <c r="C295" s="82"/>
      <c r="E295" s="82"/>
    </row>
    <row r="296">
      <c r="C296" s="82"/>
      <c r="E296" s="82"/>
    </row>
    <row r="297">
      <c r="C297" s="82"/>
      <c r="E297" s="82"/>
    </row>
    <row r="298">
      <c r="C298" s="82"/>
      <c r="E298" s="82"/>
    </row>
    <row r="299">
      <c r="C299" s="82"/>
      <c r="E299" s="82"/>
    </row>
    <row r="300">
      <c r="C300" s="82"/>
      <c r="E300" s="82"/>
    </row>
    <row r="301">
      <c r="C301" s="82"/>
      <c r="E301" s="82"/>
    </row>
    <row r="302">
      <c r="C302" s="82"/>
      <c r="E302" s="82"/>
    </row>
    <row r="303">
      <c r="C303" s="82"/>
      <c r="E303" s="82"/>
    </row>
    <row r="304">
      <c r="C304" s="82"/>
      <c r="E304" s="82"/>
    </row>
    <row r="305">
      <c r="C305" s="82"/>
      <c r="E305" s="82"/>
    </row>
    <row r="306">
      <c r="C306" s="82"/>
      <c r="E306" s="82"/>
    </row>
    <row r="307">
      <c r="C307" s="82"/>
      <c r="E307" s="82"/>
    </row>
    <row r="308">
      <c r="C308" s="82"/>
      <c r="E308" s="82"/>
    </row>
    <row r="309">
      <c r="C309" s="82"/>
      <c r="E309" s="82"/>
    </row>
    <row r="310">
      <c r="C310" s="82"/>
      <c r="E310" s="82"/>
    </row>
    <row r="311">
      <c r="C311" s="82"/>
      <c r="E311" s="82"/>
    </row>
    <row r="312">
      <c r="C312" s="82"/>
      <c r="E312" s="82"/>
    </row>
    <row r="313">
      <c r="C313" s="82"/>
      <c r="E313" s="82"/>
    </row>
    <row r="314">
      <c r="C314" s="82"/>
      <c r="E314" s="82"/>
    </row>
    <row r="315">
      <c r="C315" s="82"/>
      <c r="E315" s="82"/>
    </row>
    <row r="316">
      <c r="C316" s="82"/>
      <c r="E316" s="82"/>
    </row>
    <row r="317">
      <c r="C317" s="82"/>
      <c r="E317" s="82"/>
    </row>
    <row r="318">
      <c r="C318" s="82"/>
      <c r="E318" s="82"/>
    </row>
    <row r="319">
      <c r="C319" s="82"/>
      <c r="E319" s="82"/>
    </row>
    <row r="320">
      <c r="C320" s="82"/>
      <c r="E320" s="82"/>
    </row>
    <row r="321">
      <c r="C321" s="82"/>
      <c r="E321" s="82"/>
    </row>
    <row r="322">
      <c r="C322" s="82"/>
      <c r="E322" s="82"/>
    </row>
    <row r="323">
      <c r="C323" s="82"/>
      <c r="E323" s="82"/>
    </row>
    <row r="324">
      <c r="C324" s="82"/>
      <c r="E324" s="82"/>
    </row>
    <row r="325">
      <c r="C325" s="82"/>
      <c r="E325" s="82"/>
    </row>
    <row r="326">
      <c r="C326" s="82"/>
      <c r="E326" s="82"/>
    </row>
    <row r="327">
      <c r="C327" s="82"/>
      <c r="E327" s="82"/>
    </row>
    <row r="328">
      <c r="C328" s="82"/>
      <c r="E328" s="82"/>
    </row>
    <row r="329">
      <c r="C329" s="82"/>
      <c r="E329" s="82"/>
    </row>
    <row r="330">
      <c r="C330" s="82"/>
      <c r="E330" s="82"/>
    </row>
    <row r="331">
      <c r="C331" s="82"/>
      <c r="E331" s="82"/>
    </row>
    <row r="332">
      <c r="C332" s="82"/>
      <c r="E332" s="82"/>
    </row>
    <row r="333">
      <c r="C333" s="82"/>
      <c r="E333" s="82"/>
    </row>
    <row r="334">
      <c r="C334" s="82"/>
      <c r="E334" s="82"/>
    </row>
    <row r="335">
      <c r="C335" s="82"/>
      <c r="E335" s="82"/>
    </row>
    <row r="336">
      <c r="C336" s="82"/>
      <c r="E336" s="82"/>
    </row>
    <row r="337">
      <c r="C337" s="82"/>
      <c r="E337" s="82"/>
    </row>
    <row r="338">
      <c r="C338" s="82"/>
      <c r="E338" s="82"/>
    </row>
    <row r="339">
      <c r="C339" s="82"/>
      <c r="E339" s="82"/>
    </row>
    <row r="340">
      <c r="C340" s="82"/>
      <c r="E340" s="82"/>
    </row>
    <row r="341">
      <c r="C341" s="82"/>
      <c r="E341" s="82"/>
    </row>
    <row r="342">
      <c r="C342" s="82"/>
      <c r="E342" s="82"/>
    </row>
    <row r="343">
      <c r="C343" s="82"/>
      <c r="E343" s="82"/>
    </row>
    <row r="344">
      <c r="C344" s="82"/>
      <c r="E344" s="82"/>
    </row>
    <row r="345">
      <c r="C345" s="82"/>
      <c r="E345" s="82"/>
    </row>
    <row r="346">
      <c r="C346" s="82"/>
      <c r="E346" s="82"/>
    </row>
    <row r="347">
      <c r="C347" s="82"/>
      <c r="E347" s="82"/>
    </row>
    <row r="348">
      <c r="C348" s="82"/>
      <c r="E348" s="82"/>
    </row>
    <row r="349">
      <c r="C349" s="82"/>
      <c r="E349" s="82"/>
    </row>
    <row r="350">
      <c r="C350" s="82"/>
      <c r="E350" s="82"/>
    </row>
    <row r="351">
      <c r="C351" s="82"/>
      <c r="E351" s="82"/>
    </row>
    <row r="352">
      <c r="C352" s="82"/>
      <c r="E352" s="82"/>
    </row>
    <row r="353">
      <c r="C353" s="82"/>
      <c r="E353" s="82"/>
    </row>
    <row r="354">
      <c r="C354" s="82"/>
      <c r="E354" s="82"/>
    </row>
    <row r="355">
      <c r="C355" s="82"/>
      <c r="E355" s="82"/>
    </row>
    <row r="356">
      <c r="C356" s="82"/>
      <c r="E356" s="82"/>
    </row>
    <row r="357">
      <c r="C357" s="82"/>
      <c r="E357" s="82"/>
    </row>
    <row r="358">
      <c r="C358" s="82"/>
      <c r="E358" s="82"/>
    </row>
    <row r="359">
      <c r="C359" s="82"/>
      <c r="E359" s="82"/>
    </row>
    <row r="360">
      <c r="C360" s="82"/>
      <c r="E360" s="82"/>
    </row>
    <row r="361">
      <c r="C361" s="82"/>
      <c r="E361" s="82"/>
    </row>
    <row r="362">
      <c r="C362" s="82"/>
      <c r="E362" s="82"/>
    </row>
    <row r="363">
      <c r="C363" s="82"/>
      <c r="E363" s="82"/>
    </row>
    <row r="364">
      <c r="C364" s="82"/>
      <c r="E364" s="82"/>
    </row>
    <row r="365">
      <c r="C365" s="82"/>
      <c r="E365" s="82"/>
    </row>
    <row r="366">
      <c r="C366" s="82"/>
      <c r="E366" s="82"/>
    </row>
    <row r="367">
      <c r="C367" s="82"/>
      <c r="E367" s="82"/>
    </row>
    <row r="368">
      <c r="C368" s="82"/>
      <c r="E368" s="82"/>
    </row>
    <row r="369">
      <c r="C369" s="82"/>
      <c r="E369" s="82"/>
    </row>
    <row r="370">
      <c r="C370" s="82"/>
      <c r="E370" s="82"/>
    </row>
    <row r="371">
      <c r="C371" s="82"/>
      <c r="E371" s="82"/>
    </row>
    <row r="372">
      <c r="C372" s="82"/>
      <c r="E372" s="82"/>
    </row>
    <row r="373">
      <c r="C373" s="82"/>
      <c r="E373" s="82"/>
    </row>
    <row r="374">
      <c r="C374" s="82"/>
      <c r="E374" s="82"/>
    </row>
    <row r="375">
      <c r="C375" s="82"/>
      <c r="E375" s="82"/>
    </row>
    <row r="376">
      <c r="C376" s="82"/>
      <c r="E376" s="82"/>
    </row>
    <row r="377">
      <c r="C377" s="82"/>
      <c r="E377" s="82"/>
    </row>
    <row r="378">
      <c r="C378" s="82"/>
      <c r="E378" s="82"/>
    </row>
    <row r="379">
      <c r="C379" s="82"/>
      <c r="E379" s="82"/>
    </row>
    <row r="380">
      <c r="C380" s="82"/>
      <c r="E380" s="82"/>
    </row>
    <row r="381">
      <c r="C381" s="82"/>
      <c r="E381" s="82"/>
    </row>
    <row r="382">
      <c r="C382" s="82"/>
      <c r="E382" s="82"/>
    </row>
    <row r="383">
      <c r="C383" s="82"/>
      <c r="E383" s="82"/>
    </row>
    <row r="384">
      <c r="C384" s="82"/>
      <c r="E384" s="82"/>
    </row>
    <row r="385">
      <c r="C385" s="82"/>
      <c r="E385" s="82"/>
    </row>
    <row r="386">
      <c r="C386" s="82"/>
      <c r="E386" s="82"/>
    </row>
    <row r="387">
      <c r="C387" s="82"/>
      <c r="E387" s="82"/>
    </row>
    <row r="388">
      <c r="C388" s="82"/>
      <c r="E388" s="82"/>
    </row>
    <row r="389">
      <c r="C389" s="82"/>
      <c r="E389" s="82"/>
    </row>
    <row r="390">
      <c r="C390" s="82"/>
      <c r="E390" s="82"/>
    </row>
    <row r="391">
      <c r="C391" s="82"/>
      <c r="E391" s="82"/>
    </row>
    <row r="392">
      <c r="C392" s="82"/>
      <c r="E392" s="82"/>
    </row>
    <row r="393">
      <c r="C393" s="82"/>
      <c r="E393" s="82"/>
    </row>
    <row r="394">
      <c r="C394" s="82"/>
      <c r="E394" s="82"/>
    </row>
    <row r="395">
      <c r="C395" s="82"/>
      <c r="E395" s="82"/>
    </row>
    <row r="396">
      <c r="C396" s="82"/>
      <c r="E396" s="82"/>
    </row>
    <row r="397">
      <c r="C397" s="82"/>
      <c r="E397" s="82"/>
    </row>
    <row r="398">
      <c r="C398" s="82"/>
      <c r="E398" s="82"/>
    </row>
    <row r="399">
      <c r="C399" s="82"/>
      <c r="E399" s="82"/>
    </row>
    <row r="400">
      <c r="C400" s="82"/>
      <c r="E400" s="82"/>
    </row>
    <row r="401">
      <c r="C401" s="82"/>
      <c r="E401" s="82"/>
    </row>
    <row r="402">
      <c r="C402" s="82"/>
      <c r="E402" s="82"/>
    </row>
    <row r="403">
      <c r="C403" s="82"/>
      <c r="E403" s="82"/>
    </row>
    <row r="404">
      <c r="C404" s="82"/>
      <c r="E404" s="82"/>
    </row>
    <row r="405">
      <c r="C405" s="82"/>
      <c r="E405" s="82"/>
    </row>
    <row r="406">
      <c r="C406" s="82"/>
      <c r="E406" s="82"/>
    </row>
    <row r="407">
      <c r="C407" s="82"/>
      <c r="E407" s="82"/>
    </row>
    <row r="408">
      <c r="C408" s="82"/>
      <c r="E408" s="82"/>
    </row>
    <row r="409">
      <c r="C409" s="82"/>
      <c r="E409" s="82"/>
    </row>
    <row r="410">
      <c r="C410" s="82"/>
      <c r="E410" s="82"/>
    </row>
    <row r="411">
      <c r="C411" s="82"/>
      <c r="E411" s="82"/>
    </row>
    <row r="412">
      <c r="C412" s="82"/>
      <c r="E412" s="82"/>
    </row>
    <row r="413">
      <c r="C413" s="82"/>
      <c r="E413" s="82"/>
    </row>
    <row r="414">
      <c r="C414" s="82"/>
      <c r="E414" s="82"/>
    </row>
    <row r="415">
      <c r="C415" s="82"/>
      <c r="E415" s="82"/>
    </row>
    <row r="416">
      <c r="C416" s="82"/>
      <c r="E416" s="82"/>
    </row>
    <row r="417">
      <c r="C417" s="82"/>
      <c r="E417" s="82"/>
    </row>
    <row r="418">
      <c r="C418" s="82"/>
      <c r="E418" s="82"/>
    </row>
    <row r="419">
      <c r="C419" s="82"/>
      <c r="E419" s="82"/>
    </row>
    <row r="420">
      <c r="C420" s="82"/>
      <c r="E420" s="82"/>
    </row>
    <row r="421">
      <c r="C421" s="82"/>
      <c r="E421" s="82"/>
    </row>
    <row r="422">
      <c r="C422" s="82"/>
      <c r="E422" s="82"/>
    </row>
    <row r="423">
      <c r="C423" s="82"/>
      <c r="E423" s="82"/>
    </row>
    <row r="424">
      <c r="C424" s="82"/>
      <c r="E424" s="82"/>
    </row>
    <row r="425">
      <c r="C425" s="82"/>
      <c r="E425" s="82"/>
    </row>
    <row r="426">
      <c r="C426" s="82"/>
      <c r="E426" s="82"/>
    </row>
    <row r="427">
      <c r="C427" s="82"/>
      <c r="E427" s="82"/>
    </row>
    <row r="428">
      <c r="C428" s="82"/>
      <c r="E428" s="82"/>
    </row>
    <row r="429">
      <c r="C429" s="82"/>
      <c r="E429" s="82"/>
    </row>
    <row r="430">
      <c r="C430" s="82"/>
      <c r="E430" s="82"/>
    </row>
    <row r="431">
      <c r="C431" s="82"/>
      <c r="E431" s="82"/>
    </row>
    <row r="432">
      <c r="C432" s="82"/>
      <c r="E432" s="82"/>
    </row>
    <row r="433">
      <c r="C433" s="82"/>
      <c r="E433" s="82"/>
    </row>
    <row r="434">
      <c r="C434" s="82"/>
      <c r="E434" s="82"/>
    </row>
    <row r="435">
      <c r="C435" s="82"/>
      <c r="E435" s="82"/>
    </row>
    <row r="436">
      <c r="C436" s="82"/>
      <c r="E436" s="82"/>
    </row>
    <row r="437">
      <c r="C437" s="82"/>
      <c r="E437" s="82"/>
    </row>
    <row r="438">
      <c r="C438" s="82"/>
      <c r="E438" s="82"/>
    </row>
    <row r="439">
      <c r="C439" s="82"/>
      <c r="E439" s="82"/>
    </row>
    <row r="440">
      <c r="C440" s="82"/>
      <c r="E440" s="82"/>
    </row>
    <row r="441">
      <c r="C441" s="82"/>
      <c r="E441" s="82"/>
    </row>
    <row r="442">
      <c r="C442" s="82"/>
      <c r="E442" s="82"/>
    </row>
    <row r="443">
      <c r="C443" s="82"/>
      <c r="E443" s="82"/>
    </row>
    <row r="444">
      <c r="C444" s="82"/>
      <c r="E444" s="82"/>
    </row>
    <row r="445">
      <c r="C445" s="82"/>
      <c r="E445" s="82"/>
    </row>
    <row r="446">
      <c r="C446" s="82"/>
      <c r="E446" s="82"/>
    </row>
    <row r="447">
      <c r="C447" s="82"/>
      <c r="E447" s="82"/>
    </row>
    <row r="448">
      <c r="C448" s="82"/>
      <c r="E448" s="82"/>
    </row>
    <row r="449">
      <c r="C449" s="82"/>
      <c r="E449" s="82"/>
    </row>
    <row r="450">
      <c r="C450" s="82"/>
      <c r="E450" s="82"/>
    </row>
    <row r="451">
      <c r="C451" s="82"/>
      <c r="E451" s="82"/>
    </row>
    <row r="452">
      <c r="C452" s="82"/>
      <c r="E452" s="82"/>
    </row>
    <row r="453">
      <c r="C453" s="82"/>
      <c r="E453" s="82"/>
    </row>
    <row r="454">
      <c r="C454" s="82"/>
      <c r="E454" s="82"/>
    </row>
    <row r="455">
      <c r="C455" s="82"/>
      <c r="E455" s="82"/>
    </row>
    <row r="456">
      <c r="C456" s="82"/>
      <c r="E456" s="82"/>
    </row>
    <row r="457">
      <c r="C457" s="82"/>
      <c r="E457" s="82"/>
    </row>
    <row r="458">
      <c r="C458" s="82"/>
      <c r="E458" s="82"/>
    </row>
    <row r="459">
      <c r="C459" s="82"/>
      <c r="E459" s="82"/>
    </row>
    <row r="460">
      <c r="C460" s="82"/>
      <c r="E460" s="82"/>
    </row>
    <row r="461">
      <c r="C461" s="82"/>
      <c r="E461" s="82"/>
    </row>
    <row r="462">
      <c r="C462" s="82"/>
      <c r="E462" s="82"/>
    </row>
    <row r="463">
      <c r="C463" s="82"/>
      <c r="E463" s="82"/>
    </row>
    <row r="464">
      <c r="C464" s="82"/>
      <c r="E464" s="82"/>
    </row>
    <row r="465">
      <c r="C465" s="82"/>
      <c r="E465" s="82"/>
    </row>
    <row r="466">
      <c r="C466" s="82"/>
      <c r="E466" s="82"/>
    </row>
    <row r="467">
      <c r="C467" s="82"/>
      <c r="E467" s="82"/>
    </row>
    <row r="468">
      <c r="C468" s="82"/>
      <c r="E468" s="82"/>
    </row>
    <row r="469">
      <c r="C469" s="82"/>
      <c r="E469" s="82"/>
    </row>
    <row r="470">
      <c r="C470" s="82"/>
      <c r="E470" s="82"/>
    </row>
    <row r="471">
      <c r="C471" s="82"/>
      <c r="E471" s="82"/>
    </row>
    <row r="472">
      <c r="C472" s="82"/>
      <c r="E472" s="82"/>
    </row>
    <row r="473">
      <c r="C473" s="82"/>
      <c r="E473" s="82"/>
    </row>
    <row r="474">
      <c r="C474" s="82"/>
      <c r="E474" s="82"/>
    </row>
    <row r="475">
      <c r="C475" s="82"/>
      <c r="E475" s="82"/>
    </row>
    <row r="476">
      <c r="C476" s="82"/>
      <c r="E476" s="82"/>
    </row>
    <row r="477">
      <c r="C477" s="82"/>
      <c r="E477" s="82"/>
    </row>
    <row r="478">
      <c r="C478" s="82"/>
      <c r="E478" s="82"/>
    </row>
    <row r="479">
      <c r="C479" s="82"/>
      <c r="E479" s="82"/>
    </row>
    <row r="480">
      <c r="C480" s="82"/>
      <c r="E480" s="82"/>
    </row>
    <row r="481">
      <c r="C481" s="82"/>
      <c r="E481" s="82"/>
    </row>
    <row r="482">
      <c r="C482" s="82"/>
      <c r="E482" s="82"/>
    </row>
    <row r="483">
      <c r="C483" s="82"/>
      <c r="E483" s="82"/>
    </row>
    <row r="484">
      <c r="C484" s="82"/>
      <c r="E484" s="82"/>
    </row>
    <row r="485">
      <c r="C485" s="82"/>
      <c r="E485" s="82"/>
    </row>
    <row r="486">
      <c r="C486" s="82"/>
      <c r="E486" s="82"/>
    </row>
    <row r="487">
      <c r="C487" s="82"/>
      <c r="E487" s="82"/>
    </row>
    <row r="488">
      <c r="C488" s="82"/>
      <c r="E488" s="82"/>
    </row>
    <row r="489">
      <c r="C489" s="82"/>
      <c r="E489" s="82"/>
    </row>
    <row r="490">
      <c r="C490" s="82"/>
      <c r="E490" s="82"/>
    </row>
    <row r="491">
      <c r="C491" s="82"/>
      <c r="E491" s="82"/>
    </row>
    <row r="492">
      <c r="C492" s="82"/>
      <c r="E492" s="82"/>
    </row>
    <row r="493">
      <c r="C493" s="82"/>
      <c r="E493" s="82"/>
    </row>
    <row r="494">
      <c r="C494" s="82"/>
      <c r="E494" s="82"/>
    </row>
    <row r="495">
      <c r="C495" s="82"/>
      <c r="E495" s="82"/>
    </row>
    <row r="496">
      <c r="C496" s="82"/>
      <c r="E496" s="82"/>
    </row>
    <row r="497">
      <c r="C497" s="82"/>
      <c r="E497" s="82"/>
    </row>
    <row r="498">
      <c r="C498" s="82"/>
      <c r="E498" s="82"/>
    </row>
    <row r="499">
      <c r="C499" s="82"/>
      <c r="E499" s="82"/>
    </row>
    <row r="500">
      <c r="C500" s="82"/>
      <c r="E500" s="82"/>
    </row>
    <row r="501">
      <c r="C501" s="82"/>
      <c r="E501" s="82"/>
    </row>
    <row r="502">
      <c r="C502" s="82"/>
      <c r="E502" s="82"/>
    </row>
    <row r="503">
      <c r="C503" s="82"/>
      <c r="E503" s="82"/>
    </row>
    <row r="504">
      <c r="C504" s="82"/>
      <c r="E504" s="82"/>
    </row>
    <row r="505">
      <c r="C505" s="82"/>
      <c r="E505" s="82"/>
    </row>
    <row r="506">
      <c r="C506" s="82"/>
      <c r="E506" s="82"/>
    </row>
    <row r="507">
      <c r="C507" s="82"/>
      <c r="E507" s="82"/>
    </row>
    <row r="508">
      <c r="C508" s="82"/>
      <c r="E508" s="82"/>
    </row>
    <row r="509">
      <c r="C509" s="82"/>
      <c r="E509" s="82"/>
    </row>
    <row r="510">
      <c r="C510" s="82"/>
      <c r="E510" s="82"/>
    </row>
    <row r="511">
      <c r="C511" s="82"/>
      <c r="E511" s="82"/>
    </row>
    <row r="512">
      <c r="C512" s="82"/>
      <c r="E512" s="82"/>
    </row>
    <row r="513">
      <c r="C513" s="82"/>
      <c r="E513" s="82"/>
    </row>
    <row r="514">
      <c r="C514" s="82"/>
      <c r="E514" s="82"/>
    </row>
    <row r="515">
      <c r="C515" s="82"/>
      <c r="E515" s="82"/>
    </row>
    <row r="516">
      <c r="C516" s="82"/>
      <c r="E516" s="82"/>
    </row>
    <row r="517">
      <c r="C517" s="82"/>
      <c r="E517" s="82"/>
    </row>
    <row r="518">
      <c r="C518" s="82"/>
      <c r="E518" s="82"/>
    </row>
    <row r="519">
      <c r="C519" s="82"/>
      <c r="E519" s="82"/>
    </row>
    <row r="520">
      <c r="C520" s="82"/>
      <c r="E520" s="82"/>
    </row>
    <row r="521">
      <c r="C521" s="82"/>
      <c r="E521" s="82"/>
    </row>
    <row r="522">
      <c r="C522" s="82"/>
      <c r="E522" s="82"/>
    </row>
    <row r="523">
      <c r="C523" s="82"/>
      <c r="E523" s="82"/>
    </row>
    <row r="524">
      <c r="C524" s="82"/>
      <c r="E524" s="82"/>
    </row>
    <row r="525">
      <c r="C525" s="82"/>
      <c r="E525" s="82"/>
    </row>
    <row r="526">
      <c r="C526" s="82"/>
      <c r="E526" s="82"/>
    </row>
    <row r="527">
      <c r="C527" s="82"/>
      <c r="E527" s="82"/>
    </row>
    <row r="528">
      <c r="C528" s="82"/>
      <c r="E528" s="82"/>
    </row>
    <row r="529">
      <c r="C529" s="82"/>
      <c r="E529" s="82"/>
    </row>
    <row r="530">
      <c r="C530" s="82"/>
      <c r="E530" s="82"/>
    </row>
    <row r="531">
      <c r="C531" s="82"/>
      <c r="E531" s="82"/>
    </row>
    <row r="532">
      <c r="C532" s="82"/>
      <c r="E532" s="82"/>
    </row>
    <row r="533">
      <c r="C533" s="82"/>
      <c r="E533" s="82"/>
    </row>
    <row r="534">
      <c r="C534" s="82"/>
      <c r="E534" s="82"/>
    </row>
    <row r="535">
      <c r="C535" s="82"/>
      <c r="E535" s="82"/>
    </row>
    <row r="536">
      <c r="C536" s="82"/>
      <c r="E536" s="82"/>
    </row>
    <row r="537">
      <c r="C537" s="82"/>
      <c r="E537" s="82"/>
    </row>
    <row r="538">
      <c r="C538" s="82"/>
      <c r="E538" s="82"/>
    </row>
    <row r="539">
      <c r="C539" s="82"/>
      <c r="E539" s="82"/>
    </row>
    <row r="540">
      <c r="C540" s="82"/>
      <c r="E540" s="82"/>
    </row>
    <row r="541">
      <c r="C541" s="82"/>
      <c r="E541" s="82"/>
    </row>
    <row r="542">
      <c r="C542" s="82"/>
      <c r="E542" s="82"/>
    </row>
    <row r="543">
      <c r="C543" s="82"/>
      <c r="E543" s="82"/>
    </row>
    <row r="544">
      <c r="C544" s="82"/>
      <c r="E544" s="82"/>
    </row>
    <row r="545">
      <c r="C545" s="82"/>
      <c r="E545" s="82"/>
    </row>
    <row r="546">
      <c r="C546" s="82"/>
      <c r="E546" s="82"/>
    </row>
    <row r="547">
      <c r="C547" s="82"/>
      <c r="E547" s="82"/>
    </row>
    <row r="548">
      <c r="C548" s="82"/>
      <c r="E548" s="82"/>
    </row>
    <row r="549">
      <c r="C549" s="82"/>
      <c r="E549" s="82"/>
    </row>
    <row r="550">
      <c r="C550" s="82"/>
      <c r="E550" s="82"/>
    </row>
    <row r="551">
      <c r="C551" s="82"/>
      <c r="E551" s="82"/>
    </row>
    <row r="552">
      <c r="C552" s="82"/>
      <c r="E552" s="82"/>
    </row>
    <row r="553">
      <c r="C553" s="82"/>
      <c r="E553" s="82"/>
    </row>
    <row r="554">
      <c r="C554" s="82"/>
      <c r="E554" s="82"/>
    </row>
    <row r="555">
      <c r="C555" s="82"/>
      <c r="E555" s="82"/>
    </row>
    <row r="556">
      <c r="C556" s="82"/>
      <c r="E556" s="82"/>
    </row>
    <row r="557">
      <c r="C557" s="82"/>
      <c r="E557" s="82"/>
    </row>
    <row r="558">
      <c r="C558" s="82"/>
      <c r="E558" s="82"/>
    </row>
    <row r="559">
      <c r="C559" s="82"/>
      <c r="E559" s="82"/>
    </row>
    <row r="560">
      <c r="C560" s="82"/>
      <c r="E560" s="82"/>
    </row>
    <row r="561">
      <c r="C561" s="82"/>
      <c r="E561" s="82"/>
    </row>
    <row r="562">
      <c r="C562" s="82"/>
      <c r="E562" s="82"/>
    </row>
    <row r="563">
      <c r="C563" s="82"/>
      <c r="E563" s="82"/>
    </row>
    <row r="564">
      <c r="C564" s="82"/>
      <c r="E564" s="82"/>
    </row>
    <row r="565">
      <c r="C565" s="82"/>
      <c r="E565" s="82"/>
    </row>
    <row r="566">
      <c r="C566" s="82"/>
      <c r="E566" s="82"/>
    </row>
    <row r="567">
      <c r="C567" s="82"/>
      <c r="E567" s="82"/>
    </row>
    <row r="568">
      <c r="C568" s="82"/>
      <c r="E568" s="82"/>
    </row>
    <row r="569">
      <c r="C569" s="82"/>
      <c r="E569" s="82"/>
    </row>
    <row r="570">
      <c r="C570" s="82"/>
      <c r="E570" s="82"/>
    </row>
    <row r="571">
      <c r="C571" s="82"/>
      <c r="E571" s="82"/>
    </row>
    <row r="572">
      <c r="C572" s="82"/>
      <c r="E572" s="82"/>
    </row>
    <row r="573">
      <c r="C573" s="82"/>
      <c r="E573" s="82"/>
    </row>
    <row r="574">
      <c r="C574" s="82"/>
      <c r="E574" s="82"/>
    </row>
    <row r="575">
      <c r="C575" s="82"/>
      <c r="E575" s="82"/>
    </row>
    <row r="576">
      <c r="C576" s="82"/>
      <c r="E576" s="82"/>
    </row>
    <row r="577">
      <c r="C577" s="82"/>
      <c r="E577" s="82"/>
    </row>
    <row r="578">
      <c r="C578" s="82"/>
      <c r="E578" s="82"/>
    </row>
    <row r="579">
      <c r="C579" s="82"/>
      <c r="E579" s="82"/>
    </row>
    <row r="580">
      <c r="C580" s="82"/>
      <c r="E580" s="82"/>
    </row>
    <row r="581">
      <c r="C581" s="82"/>
      <c r="E581" s="82"/>
    </row>
    <row r="582">
      <c r="C582" s="82"/>
      <c r="E582" s="82"/>
    </row>
    <row r="583">
      <c r="C583" s="82"/>
      <c r="E583" s="82"/>
    </row>
    <row r="584">
      <c r="C584" s="82"/>
      <c r="E584" s="82"/>
    </row>
    <row r="585">
      <c r="C585" s="82"/>
      <c r="E585" s="82"/>
    </row>
    <row r="586">
      <c r="C586" s="82"/>
      <c r="E586" s="82"/>
    </row>
    <row r="587">
      <c r="C587" s="82"/>
      <c r="E587" s="82"/>
    </row>
    <row r="588">
      <c r="C588" s="82"/>
      <c r="E588" s="82"/>
    </row>
    <row r="589">
      <c r="C589" s="82"/>
      <c r="E589" s="82"/>
    </row>
    <row r="590">
      <c r="C590" s="82"/>
      <c r="E590" s="82"/>
    </row>
    <row r="591">
      <c r="C591" s="82"/>
      <c r="E591" s="82"/>
    </row>
    <row r="592">
      <c r="C592" s="82"/>
      <c r="E592" s="82"/>
    </row>
    <row r="593">
      <c r="C593" s="82"/>
      <c r="E593" s="82"/>
    </row>
    <row r="594">
      <c r="C594" s="82"/>
      <c r="E594" s="82"/>
    </row>
    <row r="595">
      <c r="C595" s="82"/>
      <c r="E595" s="82"/>
    </row>
    <row r="596">
      <c r="C596" s="82"/>
      <c r="E596" s="82"/>
    </row>
    <row r="597">
      <c r="C597" s="82"/>
      <c r="E597" s="82"/>
    </row>
    <row r="598">
      <c r="C598" s="82"/>
      <c r="E598" s="82"/>
    </row>
    <row r="599">
      <c r="C599" s="82"/>
      <c r="E599" s="82"/>
    </row>
    <row r="600">
      <c r="C600" s="82"/>
      <c r="E600" s="82"/>
    </row>
    <row r="601">
      <c r="C601" s="82"/>
      <c r="E601" s="82"/>
    </row>
    <row r="602">
      <c r="C602" s="82"/>
      <c r="E602" s="82"/>
    </row>
    <row r="603">
      <c r="C603" s="82"/>
      <c r="E603" s="82"/>
    </row>
    <row r="604">
      <c r="C604" s="82"/>
      <c r="E604" s="82"/>
    </row>
    <row r="605">
      <c r="C605" s="82"/>
      <c r="E605" s="82"/>
    </row>
    <row r="606">
      <c r="C606" s="82"/>
      <c r="E606" s="82"/>
    </row>
    <row r="607">
      <c r="C607" s="82"/>
      <c r="E607" s="82"/>
    </row>
    <row r="608">
      <c r="C608" s="82"/>
      <c r="E608" s="82"/>
    </row>
    <row r="609">
      <c r="C609" s="82"/>
      <c r="E609" s="82"/>
    </row>
    <row r="610">
      <c r="C610" s="82"/>
      <c r="E610" s="82"/>
    </row>
    <row r="611">
      <c r="C611" s="82"/>
      <c r="E611" s="82"/>
    </row>
    <row r="612">
      <c r="C612" s="82"/>
      <c r="E612" s="82"/>
    </row>
    <row r="613">
      <c r="C613" s="82"/>
      <c r="E613" s="82"/>
    </row>
    <row r="614">
      <c r="C614" s="82"/>
      <c r="E614" s="82"/>
    </row>
    <row r="615">
      <c r="C615" s="82"/>
      <c r="E615" s="82"/>
    </row>
    <row r="616">
      <c r="C616" s="82"/>
      <c r="E616" s="82"/>
    </row>
    <row r="617">
      <c r="C617" s="82"/>
      <c r="E617" s="82"/>
    </row>
    <row r="618">
      <c r="C618" s="82"/>
      <c r="E618" s="82"/>
    </row>
    <row r="619">
      <c r="C619" s="82"/>
      <c r="E619" s="82"/>
    </row>
    <row r="620">
      <c r="C620" s="82"/>
      <c r="E620" s="82"/>
    </row>
    <row r="621">
      <c r="C621" s="82"/>
      <c r="E621" s="82"/>
    </row>
    <row r="622">
      <c r="C622" s="82"/>
      <c r="E622" s="82"/>
    </row>
    <row r="623">
      <c r="C623" s="82"/>
      <c r="E623" s="82"/>
    </row>
    <row r="624">
      <c r="C624" s="82"/>
      <c r="E624" s="82"/>
    </row>
    <row r="625">
      <c r="C625" s="82"/>
      <c r="E625" s="82"/>
    </row>
    <row r="626">
      <c r="C626" s="82"/>
      <c r="E626" s="82"/>
    </row>
    <row r="627">
      <c r="C627" s="82"/>
      <c r="E627" s="82"/>
    </row>
    <row r="628">
      <c r="C628" s="82"/>
      <c r="E628" s="82"/>
    </row>
    <row r="629">
      <c r="C629" s="82"/>
      <c r="E629" s="82"/>
    </row>
    <row r="630">
      <c r="C630" s="82"/>
      <c r="E630" s="82"/>
    </row>
    <row r="631">
      <c r="C631" s="82"/>
      <c r="E631" s="82"/>
    </row>
    <row r="632">
      <c r="C632" s="82"/>
      <c r="E632" s="82"/>
    </row>
    <row r="633">
      <c r="C633" s="82"/>
      <c r="E633" s="82"/>
    </row>
    <row r="634">
      <c r="C634" s="82"/>
      <c r="E634" s="82"/>
    </row>
    <row r="635">
      <c r="C635" s="82"/>
      <c r="E635" s="82"/>
    </row>
    <row r="636">
      <c r="C636" s="82"/>
      <c r="E636" s="82"/>
    </row>
    <row r="637">
      <c r="C637" s="82"/>
      <c r="E637" s="82"/>
    </row>
    <row r="638">
      <c r="C638" s="82"/>
      <c r="E638" s="82"/>
    </row>
    <row r="639">
      <c r="C639" s="82"/>
      <c r="E639" s="82"/>
    </row>
    <row r="640">
      <c r="C640" s="82"/>
      <c r="E640" s="82"/>
    </row>
    <row r="641">
      <c r="C641" s="82"/>
      <c r="E641" s="82"/>
    </row>
    <row r="642">
      <c r="C642" s="82"/>
      <c r="E642" s="82"/>
    </row>
    <row r="643">
      <c r="C643" s="82"/>
      <c r="E643" s="82"/>
    </row>
    <row r="644">
      <c r="C644" s="82"/>
      <c r="E644" s="82"/>
    </row>
    <row r="645">
      <c r="C645" s="82"/>
      <c r="E645" s="82"/>
    </row>
    <row r="646">
      <c r="C646" s="82"/>
      <c r="E646" s="82"/>
    </row>
    <row r="647">
      <c r="C647" s="82"/>
      <c r="E647" s="82"/>
    </row>
    <row r="648">
      <c r="C648" s="82"/>
      <c r="E648" s="82"/>
    </row>
    <row r="649">
      <c r="C649" s="82"/>
      <c r="E649" s="82"/>
    </row>
    <row r="650">
      <c r="C650" s="82"/>
      <c r="E650" s="82"/>
    </row>
    <row r="651">
      <c r="C651" s="82"/>
      <c r="E651" s="82"/>
    </row>
    <row r="652">
      <c r="C652" s="82"/>
      <c r="E652" s="82"/>
    </row>
    <row r="653">
      <c r="C653" s="82"/>
      <c r="E653" s="82"/>
    </row>
    <row r="654">
      <c r="C654" s="82"/>
      <c r="E654" s="82"/>
    </row>
    <row r="655">
      <c r="C655" s="82"/>
      <c r="E655" s="82"/>
    </row>
    <row r="656">
      <c r="C656" s="82"/>
      <c r="E656" s="82"/>
    </row>
    <row r="657">
      <c r="C657" s="82"/>
      <c r="E657" s="82"/>
    </row>
    <row r="658">
      <c r="C658" s="82"/>
      <c r="E658" s="82"/>
    </row>
    <row r="659">
      <c r="C659" s="82"/>
      <c r="E659" s="82"/>
    </row>
    <row r="660">
      <c r="C660" s="82"/>
      <c r="E660" s="82"/>
    </row>
    <row r="661">
      <c r="C661" s="82"/>
      <c r="E661" s="82"/>
    </row>
    <row r="662">
      <c r="C662" s="82"/>
      <c r="E662" s="82"/>
    </row>
    <row r="663">
      <c r="C663" s="82"/>
      <c r="E663" s="82"/>
    </row>
    <row r="664">
      <c r="C664" s="82"/>
      <c r="E664" s="82"/>
    </row>
    <row r="665">
      <c r="C665" s="82"/>
      <c r="E665" s="82"/>
    </row>
    <row r="666">
      <c r="C666" s="82"/>
      <c r="E666" s="82"/>
    </row>
    <row r="667">
      <c r="C667" s="82"/>
      <c r="E667" s="82"/>
    </row>
    <row r="668">
      <c r="C668" s="82"/>
      <c r="E668" s="82"/>
    </row>
    <row r="669">
      <c r="C669" s="82"/>
      <c r="E669" s="82"/>
    </row>
    <row r="670">
      <c r="C670" s="82"/>
      <c r="E670" s="82"/>
    </row>
    <row r="671">
      <c r="C671" s="82"/>
      <c r="E671" s="82"/>
    </row>
    <row r="672">
      <c r="C672" s="82"/>
      <c r="E672" s="82"/>
    </row>
    <row r="673">
      <c r="C673" s="82"/>
      <c r="E673" s="82"/>
    </row>
    <row r="674">
      <c r="C674" s="82"/>
      <c r="E674" s="82"/>
    </row>
    <row r="675">
      <c r="C675" s="82"/>
      <c r="E675" s="82"/>
    </row>
    <row r="676">
      <c r="C676" s="82"/>
      <c r="E676" s="82"/>
    </row>
    <row r="677">
      <c r="C677" s="82"/>
      <c r="E677" s="82"/>
    </row>
    <row r="678">
      <c r="C678" s="82"/>
      <c r="E678" s="82"/>
    </row>
    <row r="679">
      <c r="C679" s="82"/>
      <c r="E679" s="82"/>
    </row>
    <row r="680">
      <c r="C680" s="82"/>
      <c r="E680" s="82"/>
    </row>
    <row r="681">
      <c r="C681" s="82"/>
      <c r="E681" s="82"/>
    </row>
    <row r="682">
      <c r="C682" s="82"/>
      <c r="E682" s="82"/>
    </row>
    <row r="683">
      <c r="C683" s="82"/>
      <c r="E683" s="82"/>
    </row>
    <row r="684">
      <c r="C684" s="82"/>
      <c r="E684" s="82"/>
    </row>
    <row r="685">
      <c r="C685" s="82"/>
      <c r="E685" s="82"/>
    </row>
    <row r="686">
      <c r="C686" s="82"/>
      <c r="E686" s="82"/>
    </row>
    <row r="687">
      <c r="C687" s="82"/>
      <c r="E687" s="82"/>
    </row>
    <row r="688">
      <c r="C688" s="82"/>
      <c r="E688" s="82"/>
    </row>
    <row r="689">
      <c r="C689" s="82"/>
      <c r="E689" s="82"/>
    </row>
    <row r="690">
      <c r="C690" s="82"/>
      <c r="E690" s="82"/>
    </row>
    <row r="691">
      <c r="C691" s="82"/>
      <c r="E691" s="82"/>
    </row>
    <row r="692">
      <c r="C692" s="82"/>
      <c r="E692" s="82"/>
    </row>
    <row r="693">
      <c r="C693" s="82"/>
      <c r="E693" s="82"/>
    </row>
    <row r="694">
      <c r="C694" s="82"/>
      <c r="E694" s="82"/>
    </row>
    <row r="695">
      <c r="C695" s="82"/>
      <c r="E695" s="82"/>
    </row>
    <row r="696">
      <c r="C696" s="82"/>
      <c r="E696" s="82"/>
    </row>
    <row r="697">
      <c r="C697" s="82"/>
      <c r="E697" s="82"/>
    </row>
    <row r="698">
      <c r="C698" s="82"/>
      <c r="E698" s="82"/>
    </row>
    <row r="699">
      <c r="C699" s="82"/>
      <c r="E699" s="82"/>
    </row>
    <row r="700">
      <c r="C700" s="82"/>
      <c r="E700" s="82"/>
    </row>
    <row r="701">
      <c r="C701" s="82"/>
      <c r="E701" s="82"/>
    </row>
    <row r="702">
      <c r="C702" s="82"/>
      <c r="E702" s="82"/>
    </row>
    <row r="703">
      <c r="C703" s="82"/>
      <c r="E703" s="82"/>
    </row>
    <row r="704">
      <c r="C704" s="82"/>
      <c r="E704" s="82"/>
    </row>
    <row r="705">
      <c r="C705" s="82"/>
      <c r="E705" s="82"/>
    </row>
    <row r="706">
      <c r="C706" s="82"/>
      <c r="E706" s="82"/>
    </row>
    <row r="707">
      <c r="C707" s="82"/>
      <c r="E707" s="82"/>
    </row>
    <row r="708">
      <c r="C708" s="82"/>
      <c r="E708" s="82"/>
    </row>
    <row r="709">
      <c r="C709" s="82"/>
      <c r="E709" s="82"/>
    </row>
    <row r="710">
      <c r="C710" s="82"/>
      <c r="E710" s="82"/>
    </row>
    <row r="711">
      <c r="C711" s="82"/>
      <c r="E711" s="82"/>
    </row>
    <row r="712">
      <c r="C712" s="82"/>
      <c r="E712" s="82"/>
    </row>
    <row r="713">
      <c r="C713" s="82"/>
      <c r="E713" s="82"/>
    </row>
    <row r="714">
      <c r="C714" s="82"/>
      <c r="E714" s="82"/>
    </row>
    <row r="715">
      <c r="C715" s="82"/>
      <c r="E715" s="82"/>
    </row>
    <row r="716">
      <c r="C716" s="82"/>
      <c r="E716" s="82"/>
    </row>
    <row r="717">
      <c r="C717" s="82"/>
      <c r="E717" s="82"/>
    </row>
    <row r="718">
      <c r="C718" s="82"/>
      <c r="E718" s="82"/>
    </row>
    <row r="719">
      <c r="C719" s="82"/>
      <c r="E719" s="82"/>
    </row>
    <row r="720">
      <c r="C720" s="82"/>
      <c r="E720" s="82"/>
    </row>
    <row r="721">
      <c r="C721" s="82"/>
      <c r="E721" s="82"/>
    </row>
    <row r="722">
      <c r="C722" s="82"/>
      <c r="E722" s="82"/>
    </row>
    <row r="723">
      <c r="C723" s="82"/>
      <c r="E723" s="82"/>
    </row>
    <row r="724">
      <c r="C724" s="82"/>
      <c r="E724" s="82"/>
    </row>
    <row r="725">
      <c r="C725" s="82"/>
      <c r="E725" s="82"/>
    </row>
    <row r="726">
      <c r="C726" s="82"/>
      <c r="E726" s="82"/>
    </row>
    <row r="727">
      <c r="C727" s="82"/>
      <c r="E727" s="82"/>
    </row>
    <row r="728">
      <c r="C728" s="82"/>
      <c r="E728" s="82"/>
    </row>
    <row r="729">
      <c r="C729" s="82"/>
      <c r="E729" s="82"/>
    </row>
    <row r="730">
      <c r="C730" s="82"/>
      <c r="E730" s="82"/>
    </row>
    <row r="731">
      <c r="C731" s="82"/>
      <c r="E731" s="82"/>
    </row>
    <row r="732">
      <c r="C732" s="82"/>
      <c r="E732" s="82"/>
    </row>
    <row r="733">
      <c r="C733" s="82"/>
      <c r="E733" s="82"/>
    </row>
    <row r="734">
      <c r="C734" s="82"/>
      <c r="E734" s="82"/>
    </row>
    <row r="735">
      <c r="C735" s="82"/>
      <c r="E735" s="82"/>
    </row>
    <row r="736">
      <c r="C736" s="82"/>
      <c r="E736" s="82"/>
    </row>
    <row r="737">
      <c r="C737" s="82"/>
      <c r="E737" s="82"/>
    </row>
    <row r="738">
      <c r="C738" s="82"/>
      <c r="E738" s="82"/>
    </row>
    <row r="739">
      <c r="C739" s="82"/>
      <c r="E739" s="82"/>
    </row>
    <row r="740">
      <c r="C740" s="82"/>
      <c r="E740" s="82"/>
    </row>
    <row r="741">
      <c r="C741" s="82"/>
      <c r="E741" s="82"/>
    </row>
    <row r="742">
      <c r="C742" s="82"/>
      <c r="E742" s="82"/>
    </row>
    <row r="743">
      <c r="C743" s="82"/>
      <c r="E743" s="82"/>
    </row>
    <row r="744">
      <c r="C744" s="82"/>
      <c r="E744" s="82"/>
    </row>
    <row r="745">
      <c r="C745" s="82"/>
      <c r="E745" s="82"/>
    </row>
    <row r="746">
      <c r="C746" s="82"/>
      <c r="E746" s="82"/>
    </row>
    <row r="747">
      <c r="C747" s="82"/>
      <c r="E747" s="82"/>
    </row>
    <row r="748">
      <c r="C748" s="82"/>
      <c r="E748" s="82"/>
    </row>
    <row r="749">
      <c r="C749" s="82"/>
      <c r="E749" s="82"/>
    </row>
    <row r="750">
      <c r="C750" s="82"/>
      <c r="E750" s="82"/>
    </row>
    <row r="751">
      <c r="C751" s="82"/>
      <c r="E751" s="82"/>
    </row>
    <row r="752">
      <c r="C752" s="82"/>
      <c r="E752" s="82"/>
    </row>
    <row r="753">
      <c r="C753" s="82"/>
      <c r="E753" s="82"/>
    </row>
    <row r="754">
      <c r="C754" s="82"/>
      <c r="E754" s="82"/>
    </row>
    <row r="755">
      <c r="C755" s="82"/>
      <c r="E755" s="82"/>
    </row>
    <row r="756">
      <c r="C756" s="82"/>
      <c r="E756" s="82"/>
    </row>
    <row r="757">
      <c r="C757" s="82"/>
      <c r="E757" s="82"/>
    </row>
    <row r="758">
      <c r="C758" s="82"/>
      <c r="E758" s="82"/>
    </row>
    <row r="759">
      <c r="C759" s="82"/>
      <c r="E759" s="82"/>
    </row>
    <row r="760">
      <c r="C760" s="82"/>
      <c r="E760" s="82"/>
    </row>
    <row r="761">
      <c r="C761" s="82"/>
      <c r="E761" s="82"/>
    </row>
    <row r="762">
      <c r="C762" s="82"/>
      <c r="E762" s="82"/>
    </row>
    <row r="763">
      <c r="C763" s="82"/>
      <c r="E763" s="82"/>
    </row>
    <row r="764">
      <c r="C764" s="82"/>
      <c r="E764" s="82"/>
    </row>
    <row r="765">
      <c r="C765" s="82"/>
      <c r="E765" s="82"/>
    </row>
    <row r="766">
      <c r="C766" s="82"/>
      <c r="E766" s="82"/>
    </row>
    <row r="767">
      <c r="C767" s="82"/>
      <c r="E767" s="82"/>
    </row>
    <row r="768">
      <c r="C768" s="82"/>
      <c r="E768" s="82"/>
    </row>
    <row r="769">
      <c r="C769" s="82"/>
      <c r="E769" s="82"/>
    </row>
    <row r="770">
      <c r="C770" s="82"/>
      <c r="E770" s="82"/>
    </row>
    <row r="771">
      <c r="C771" s="82"/>
      <c r="E771" s="82"/>
    </row>
    <row r="772">
      <c r="C772" s="82"/>
      <c r="E772" s="82"/>
    </row>
    <row r="773">
      <c r="C773" s="82"/>
      <c r="E773" s="82"/>
    </row>
    <row r="774">
      <c r="C774" s="82"/>
      <c r="E774" s="82"/>
    </row>
    <row r="775">
      <c r="C775" s="82"/>
      <c r="E775" s="82"/>
    </row>
    <row r="776">
      <c r="C776" s="82"/>
      <c r="E776" s="82"/>
    </row>
    <row r="777">
      <c r="C777" s="82"/>
      <c r="E777" s="82"/>
    </row>
    <row r="778">
      <c r="C778" s="82"/>
      <c r="E778" s="82"/>
    </row>
    <row r="779">
      <c r="C779" s="82"/>
      <c r="E779" s="82"/>
    </row>
    <row r="780">
      <c r="C780" s="82"/>
      <c r="E780" s="82"/>
    </row>
    <row r="781">
      <c r="C781" s="82"/>
      <c r="E781" s="82"/>
    </row>
    <row r="782">
      <c r="C782" s="82"/>
      <c r="E782" s="82"/>
    </row>
    <row r="783">
      <c r="C783" s="82"/>
      <c r="E783" s="82"/>
    </row>
    <row r="784">
      <c r="C784" s="82"/>
      <c r="E784" s="82"/>
    </row>
    <row r="785">
      <c r="C785" s="82"/>
      <c r="E785" s="82"/>
    </row>
    <row r="786">
      <c r="C786" s="82"/>
      <c r="E786" s="82"/>
    </row>
    <row r="787">
      <c r="C787" s="82"/>
      <c r="E787" s="82"/>
    </row>
    <row r="788">
      <c r="C788" s="82"/>
      <c r="E788" s="82"/>
    </row>
    <row r="789">
      <c r="C789" s="82"/>
      <c r="E789" s="82"/>
    </row>
    <row r="790">
      <c r="C790" s="82"/>
      <c r="E790" s="82"/>
    </row>
    <row r="791">
      <c r="C791" s="82"/>
      <c r="E791" s="82"/>
    </row>
    <row r="792">
      <c r="C792" s="82"/>
      <c r="E792" s="82"/>
    </row>
    <row r="793">
      <c r="C793" s="82"/>
      <c r="E793" s="82"/>
    </row>
    <row r="794">
      <c r="C794" s="82"/>
      <c r="E794" s="82"/>
    </row>
    <row r="795">
      <c r="C795" s="82"/>
      <c r="E795" s="82"/>
    </row>
    <row r="796">
      <c r="C796" s="82"/>
      <c r="E796" s="82"/>
    </row>
    <row r="797">
      <c r="C797" s="82"/>
      <c r="E797" s="82"/>
    </row>
    <row r="798">
      <c r="C798" s="82"/>
      <c r="E798" s="82"/>
    </row>
    <row r="799">
      <c r="C799" s="82"/>
      <c r="E799" s="82"/>
    </row>
    <row r="800">
      <c r="C800" s="82"/>
      <c r="E800" s="82"/>
    </row>
    <row r="801">
      <c r="C801" s="82"/>
      <c r="E801" s="82"/>
    </row>
    <row r="802">
      <c r="C802" s="82"/>
      <c r="E802" s="82"/>
    </row>
    <row r="803">
      <c r="C803" s="82"/>
      <c r="E803" s="82"/>
    </row>
    <row r="804">
      <c r="C804" s="82"/>
      <c r="E804" s="82"/>
    </row>
    <row r="805">
      <c r="C805" s="82"/>
      <c r="E805" s="82"/>
    </row>
    <row r="806">
      <c r="C806" s="82"/>
      <c r="E806" s="82"/>
    </row>
    <row r="807">
      <c r="C807" s="82"/>
      <c r="E807" s="82"/>
    </row>
    <row r="808">
      <c r="C808" s="82"/>
      <c r="E808" s="82"/>
    </row>
    <row r="809">
      <c r="C809" s="82"/>
      <c r="E809" s="82"/>
    </row>
    <row r="810">
      <c r="C810" s="82"/>
      <c r="E810" s="82"/>
    </row>
    <row r="811">
      <c r="C811" s="82"/>
      <c r="E811" s="82"/>
    </row>
    <row r="812">
      <c r="C812" s="82"/>
      <c r="E812" s="82"/>
    </row>
    <row r="813">
      <c r="C813" s="82"/>
      <c r="E813" s="82"/>
    </row>
    <row r="814">
      <c r="C814" s="82"/>
      <c r="E814" s="82"/>
    </row>
    <row r="815">
      <c r="C815" s="82"/>
      <c r="E815" s="82"/>
    </row>
    <row r="816">
      <c r="C816" s="82"/>
      <c r="E816" s="82"/>
    </row>
    <row r="817">
      <c r="C817" s="82"/>
      <c r="E817" s="82"/>
    </row>
    <row r="818">
      <c r="C818" s="82"/>
      <c r="E818" s="82"/>
    </row>
    <row r="819">
      <c r="C819" s="82"/>
      <c r="E819" s="82"/>
    </row>
    <row r="820">
      <c r="C820" s="82"/>
      <c r="E820" s="82"/>
    </row>
    <row r="821">
      <c r="C821" s="82"/>
      <c r="E821" s="82"/>
    </row>
    <row r="822">
      <c r="C822" s="82"/>
      <c r="E822" s="82"/>
    </row>
    <row r="823">
      <c r="C823" s="82"/>
      <c r="E823" s="82"/>
    </row>
    <row r="824">
      <c r="C824" s="82"/>
      <c r="E824" s="82"/>
    </row>
    <row r="825">
      <c r="C825" s="82"/>
      <c r="E825" s="82"/>
    </row>
    <row r="826">
      <c r="C826" s="82"/>
      <c r="E826" s="82"/>
    </row>
    <row r="827">
      <c r="C827" s="82"/>
      <c r="E827" s="82"/>
    </row>
    <row r="828">
      <c r="C828" s="82"/>
      <c r="E828" s="82"/>
    </row>
    <row r="829">
      <c r="C829" s="82"/>
      <c r="E829" s="82"/>
    </row>
    <row r="830">
      <c r="C830" s="82"/>
      <c r="E830" s="82"/>
    </row>
    <row r="831">
      <c r="C831" s="82"/>
      <c r="E831" s="82"/>
    </row>
    <row r="832">
      <c r="C832" s="82"/>
      <c r="E832" s="82"/>
    </row>
    <row r="833">
      <c r="C833" s="82"/>
      <c r="E833" s="82"/>
    </row>
    <row r="834">
      <c r="C834" s="82"/>
      <c r="E834" s="82"/>
    </row>
    <row r="835">
      <c r="C835" s="82"/>
      <c r="E835" s="82"/>
    </row>
    <row r="836">
      <c r="C836" s="82"/>
      <c r="E836" s="82"/>
    </row>
    <row r="837">
      <c r="C837" s="82"/>
      <c r="E837" s="82"/>
    </row>
    <row r="838">
      <c r="C838" s="82"/>
      <c r="E838" s="82"/>
    </row>
    <row r="839">
      <c r="C839" s="82"/>
      <c r="E839" s="82"/>
    </row>
    <row r="840">
      <c r="C840" s="82"/>
      <c r="E840" s="82"/>
    </row>
    <row r="841">
      <c r="C841" s="82"/>
      <c r="E841" s="82"/>
    </row>
    <row r="842">
      <c r="C842" s="82"/>
      <c r="E842" s="82"/>
    </row>
    <row r="843">
      <c r="C843" s="82"/>
      <c r="E843" s="82"/>
    </row>
    <row r="844">
      <c r="C844" s="82"/>
      <c r="E844" s="82"/>
    </row>
    <row r="845">
      <c r="C845" s="82"/>
      <c r="E845" s="82"/>
    </row>
    <row r="846">
      <c r="C846" s="82"/>
      <c r="E846" s="82"/>
    </row>
    <row r="847">
      <c r="C847" s="82"/>
      <c r="E847" s="82"/>
    </row>
    <row r="848">
      <c r="C848" s="82"/>
      <c r="E848" s="82"/>
    </row>
    <row r="849">
      <c r="C849" s="82"/>
      <c r="E849" s="82"/>
    </row>
    <row r="850">
      <c r="C850" s="82"/>
      <c r="E850" s="82"/>
    </row>
    <row r="851">
      <c r="C851" s="82"/>
      <c r="E851" s="82"/>
    </row>
    <row r="852">
      <c r="C852" s="82"/>
      <c r="E852" s="82"/>
    </row>
    <row r="853">
      <c r="C853" s="82"/>
      <c r="E853" s="82"/>
    </row>
    <row r="854">
      <c r="C854" s="82"/>
      <c r="E854" s="82"/>
    </row>
    <row r="855">
      <c r="C855" s="82"/>
      <c r="E855" s="82"/>
    </row>
    <row r="856">
      <c r="C856" s="82"/>
      <c r="E856" s="82"/>
    </row>
    <row r="857">
      <c r="C857" s="82"/>
      <c r="E857" s="82"/>
    </row>
    <row r="858">
      <c r="C858" s="82"/>
      <c r="E858" s="82"/>
    </row>
    <row r="859">
      <c r="C859" s="82"/>
      <c r="E859" s="82"/>
    </row>
    <row r="860">
      <c r="C860" s="82"/>
      <c r="E860" s="82"/>
    </row>
    <row r="861">
      <c r="C861" s="82"/>
      <c r="E861" s="82"/>
    </row>
    <row r="862">
      <c r="C862" s="82"/>
      <c r="E862" s="82"/>
    </row>
    <row r="863">
      <c r="C863" s="82"/>
      <c r="E863" s="82"/>
    </row>
    <row r="864">
      <c r="C864" s="82"/>
      <c r="E864" s="82"/>
    </row>
    <row r="865">
      <c r="C865" s="82"/>
      <c r="E865" s="82"/>
    </row>
    <row r="866">
      <c r="C866" s="82"/>
      <c r="E866" s="82"/>
    </row>
    <row r="867">
      <c r="C867" s="82"/>
      <c r="E867" s="82"/>
    </row>
    <row r="868">
      <c r="C868" s="82"/>
      <c r="E868" s="82"/>
    </row>
    <row r="869">
      <c r="C869" s="82"/>
      <c r="E869" s="82"/>
    </row>
    <row r="870">
      <c r="C870" s="82"/>
      <c r="E870" s="82"/>
    </row>
    <row r="871">
      <c r="C871" s="82"/>
      <c r="E871" s="82"/>
    </row>
    <row r="872">
      <c r="C872" s="82"/>
      <c r="E872" s="82"/>
    </row>
    <row r="873">
      <c r="C873" s="82"/>
      <c r="E873" s="82"/>
    </row>
    <row r="874">
      <c r="C874" s="82"/>
      <c r="E874" s="82"/>
    </row>
    <row r="875">
      <c r="C875" s="82"/>
      <c r="E875" s="82"/>
    </row>
    <row r="876">
      <c r="C876" s="82"/>
      <c r="E876" s="82"/>
    </row>
    <row r="877">
      <c r="C877" s="82"/>
      <c r="E877" s="82"/>
    </row>
    <row r="878">
      <c r="C878" s="82"/>
      <c r="E878" s="82"/>
    </row>
    <row r="879">
      <c r="C879" s="82"/>
      <c r="E879" s="82"/>
    </row>
    <row r="880">
      <c r="C880" s="82"/>
      <c r="E880" s="82"/>
    </row>
    <row r="881">
      <c r="C881" s="82"/>
      <c r="E881" s="82"/>
    </row>
    <row r="882">
      <c r="C882" s="82"/>
      <c r="E882" s="82"/>
    </row>
    <row r="883">
      <c r="C883" s="82"/>
      <c r="E883" s="82"/>
    </row>
    <row r="884">
      <c r="C884" s="82"/>
      <c r="E884" s="82"/>
    </row>
    <row r="885">
      <c r="C885" s="82"/>
      <c r="E885" s="82"/>
    </row>
    <row r="886">
      <c r="C886" s="82"/>
      <c r="E886" s="82"/>
    </row>
    <row r="887">
      <c r="C887" s="82"/>
      <c r="E887" s="82"/>
    </row>
    <row r="888">
      <c r="C888" s="82"/>
      <c r="E888" s="82"/>
    </row>
    <row r="889">
      <c r="C889" s="82"/>
      <c r="E889" s="82"/>
    </row>
    <row r="890">
      <c r="C890" s="82"/>
      <c r="E890" s="82"/>
    </row>
    <row r="891">
      <c r="C891" s="82"/>
      <c r="E891" s="82"/>
    </row>
    <row r="892">
      <c r="C892" s="82"/>
      <c r="E892" s="82"/>
    </row>
    <row r="893">
      <c r="C893" s="82"/>
      <c r="E893" s="82"/>
    </row>
    <row r="894">
      <c r="C894" s="82"/>
      <c r="E894" s="82"/>
    </row>
    <row r="895">
      <c r="C895" s="82"/>
      <c r="E895" s="82"/>
    </row>
    <row r="896">
      <c r="C896" s="82"/>
      <c r="E896" s="82"/>
    </row>
    <row r="897">
      <c r="C897" s="82"/>
      <c r="E897" s="82"/>
    </row>
    <row r="898">
      <c r="C898" s="82"/>
      <c r="E898" s="82"/>
    </row>
    <row r="899">
      <c r="C899" s="82"/>
      <c r="E899" s="82"/>
    </row>
    <row r="900">
      <c r="C900" s="82"/>
      <c r="E900" s="82"/>
    </row>
    <row r="901">
      <c r="C901" s="82"/>
      <c r="E901" s="82"/>
    </row>
    <row r="902">
      <c r="C902" s="82"/>
      <c r="E902" s="82"/>
    </row>
    <row r="903">
      <c r="C903" s="82"/>
      <c r="E903" s="82"/>
    </row>
    <row r="904">
      <c r="C904" s="82"/>
      <c r="E904" s="82"/>
    </row>
    <row r="905">
      <c r="C905" s="82"/>
      <c r="E905" s="82"/>
    </row>
    <row r="906">
      <c r="C906" s="82"/>
      <c r="E906" s="82"/>
    </row>
    <row r="907">
      <c r="C907" s="82"/>
      <c r="E907" s="82"/>
    </row>
    <row r="908">
      <c r="C908" s="82"/>
      <c r="E908" s="82"/>
    </row>
    <row r="909">
      <c r="C909" s="82"/>
      <c r="E909" s="82"/>
    </row>
    <row r="910">
      <c r="C910" s="82"/>
      <c r="E910" s="82"/>
    </row>
    <row r="911">
      <c r="C911" s="82"/>
      <c r="E911" s="82"/>
    </row>
    <row r="912">
      <c r="C912" s="82"/>
      <c r="E912" s="82"/>
    </row>
    <row r="913">
      <c r="C913" s="82"/>
      <c r="E913" s="82"/>
    </row>
    <row r="914">
      <c r="C914" s="82"/>
      <c r="E914" s="82"/>
    </row>
    <row r="915">
      <c r="C915" s="82"/>
      <c r="E915" s="82"/>
    </row>
    <row r="916">
      <c r="C916" s="82"/>
      <c r="E916" s="82"/>
    </row>
    <row r="917">
      <c r="C917" s="82"/>
      <c r="E917" s="82"/>
    </row>
    <row r="918">
      <c r="C918" s="82"/>
      <c r="E918" s="82"/>
    </row>
    <row r="919">
      <c r="C919" s="82"/>
      <c r="E919" s="82"/>
    </row>
    <row r="920">
      <c r="C920" s="82"/>
      <c r="E920" s="82"/>
    </row>
    <row r="921">
      <c r="C921" s="82"/>
      <c r="E921" s="82"/>
    </row>
    <row r="922">
      <c r="C922" s="82"/>
      <c r="E922" s="82"/>
    </row>
    <row r="923">
      <c r="C923" s="82"/>
      <c r="E923" s="82"/>
    </row>
    <row r="924">
      <c r="C924" s="82"/>
      <c r="E924" s="82"/>
    </row>
    <row r="925">
      <c r="C925" s="82"/>
      <c r="E925" s="82"/>
    </row>
    <row r="926">
      <c r="C926" s="82"/>
      <c r="E926" s="82"/>
    </row>
    <row r="927">
      <c r="C927" s="82"/>
      <c r="E927" s="82"/>
    </row>
    <row r="928">
      <c r="C928" s="82"/>
      <c r="E928" s="82"/>
    </row>
    <row r="929">
      <c r="C929" s="82"/>
      <c r="E929" s="82"/>
    </row>
    <row r="930">
      <c r="C930" s="82"/>
      <c r="E930" s="82"/>
    </row>
    <row r="931">
      <c r="C931" s="82"/>
      <c r="E931" s="82"/>
    </row>
    <row r="932">
      <c r="C932" s="82"/>
      <c r="E932" s="82"/>
    </row>
    <row r="933">
      <c r="C933" s="82"/>
      <c r="E933" s="82"/>
    </row>
    <row r="934">
      <c r="C934" s="82"/>
      <c r="E934" s="82"/>
    </row>
    <row r="935">
      <c r="C935" s="82"/>
      <c r="E935" s="82"/>
    </row>
    <row r="936">
      <c r="C936" s="82"/>
      <c r="E936" s="82"/>
    </row>
    <row r="937">
      <c r="C937" s="82"/>
      <c r="E937" s="82"/>
    </row>
    <row r="938">
      <c r="C938" s="82"/>
      <c r="E938" s="82"/>
    </row>
    <row r="939">
      <c r="C939" s="82"/>
      <c r="E939" s="82"/>
    </row>
    <row r="940">
      <c r="C940" s="82"/>
      <c r="E940" s="82"/>
    </row>
    <row r="941">
      <c r="C941" s="82"/>
      <c r="E941" s="82"/>
    </row>
    <row r="942">
      <c r="C942" s="82"/>
      <c r="E942" s="82"/>
    </row>
    <row r="943">
      <c r="C943" s="82"/>
      <c r="E943" s="82"/>
    </row>
    <row r="944">
      <c r="C944" s="82"/>
      <c r="E944" s="82"/>
    </row>
    <row r="945">
      <c r="C945" s="82"/>
      <c r="E945" s="82"/>
    </row>
    <row r="946">
      <c r="C946" s="82"/>
      <c r="E946" s="82"/>
    </row>
    <row r="947">
      <c r="C947" s="82"/>
      <c r="E947" s="82"/>
    </row>
    <row r="948">
      <c r="C948" s="82"/>
      <c r="E948" s="82"/>
    </row>
    <row r="949">
      <c r="C949" s="82"/>
      <c r="E949" s="82"/>
    </row>
    <row r="950">
      <c r="C950" s="82"/>
      <c r="E950" s="82"/>
    </row>
    <row r="951">
      <c r="C951" s="82"/>
      <c r="E951" s="82"/>
    </row>
    <row r="952">
      <c r="C952" s="82"/>
      <c r="E952" s="82"/>
    </row>
    <row r="953">
      <c r="C953" s="82"/>
      <c r="E953" s="82"/>
    </row>
    <row r="954">
      <c r="C954" s="82"/>
      <c r="E954" s="82"/>
    </row>
    <row r="955">
      <c r="C955" s="82"/>
      <c r="E955" s="82"/>
    </row>
    <row r="956">
      <c r="C956" s="82"/>
      <c r="E956" s="82"/>
    </row>
    <row r="957">
      <c r="C957" s="82"/>
      <c r="E957" s="82"/>
    </row>
    <row r="958">
      <c r="C958" s="82"/>
      <c r="E958" s="82"/>
    </row>
    <row r="959">
      <c r="C959" s="82"/>
      <c r="E959" s="82"/>
    </row>
    <row r="960">
      <c r="C960" s="82"/>
      <c r="E960" s="82"/>
    </row>
    <row r="961">
      <c r="C961" s="82"/>
      <c r="E961" s="82"/>
    </row>
    <row r="962">
      <c r="C962" s="82"/>
      <c r="E962" s="82"/>
    </row>
    <row r="963">
      <c r="C963" s="82"/>
      <c r="E963" s="82"/>
    </row>
    <row r="964">
      <c r="C964" s="82"/>
      <c r="E964" s="82"/>
    </row>
    <row r="965">
      <c r="C965" s="82"/>
      <c r="E965" s="82"/>
    </row>
    <row r="966">
      <c r="C966" s="82"/>
      <c r="E966" s="82"/>
    </row>
    <row r="967">
      <c r="C967" s="82"/>
      <c r="E967" s="82"/>
    </row>
    <row r="968">
      <c r="C968" s="82"/>
      <c r="E968" s="82"/>
    </row>
    <row r="969">
      <c r="C969" s="82"/>
      <c r="E969" s="82"/>
    </row>
    <row r="970">
      <c r="C970" s="82"/>
      <c r="E970" s="82"/>
    </row>
    <row r="971">
      <c r="C971" s="82"/>
      <c r="E971" s="82"/>
    </row>
    <row r="972">
      <c r="C972" s="82"/>
      <c r="E972" s="82"/>
    </row>
    <row r="973">
      <c r="C973" s="82"/>
      <c r="E973" s="82"/>
    </row>
    <row r="974">
      <c r="C974" s="82"/>
      <c r="E974" s="82"/>
    </row>
    <row r="975">
      <c r="C975" s="82"/>
      <c r="E975" s="82"/>
    </row>
    <row r="976">
      <c r="C976" s="82"/>
      <c r="E976" s="82"/>
    </row>
    <row r="977">
      <c r="C977" s="82"/>
      <c r="E977" s="82"/>
    </row>
    <row r="978">
      <c r="C978" s="82"/>
      <c r="E978" s="82"/>
    </row>
    <row r="979">
      <c r="C979" s="82"/>
      <c r="E979" s="82"/>
    </row>
    <row r="980">
      <c r="C980" s="82"/>
      <c r="E980" s="82"/>
    </row>
    <row r="981">
      <c r="C981" s="82"/>
      <c r="E981" s="82"/>
    </row>
    <row r="982">
      <c r="C982" s="82"/>
      <c r="E982" s="82"/>
    </row>
    <row r="983">
      <c r="C983" s="82"/>
      <c r="E983" s="82"/>
    </row>
    <row r="984">
      <c r="C984" s="82"/>
      <c r="E984" s="82"/>
    </row>
    <row r="985">
      <c r="C985" s="82"/>
      <c r="E985" s="82"/>
    </row>
    <row r="986">
      <c r="C986" s="82"/>
      <c r="E986" s="82"/>
    </row>
    <row r="987">
      <c r="C987" s="82"/>
      <c r="E987" s="82"/>
    </row>
    <row r="988">
      <c r="C988" s="82"/>
      <c r="E988" s="82"/>
    </row>
    <row r="989">
      <c r="C989" s="82"/>
      <c r="E989" s="82"/>
    </row>
    <row r="990">
      <c r="C990" s="82"/>
      <c r="E990" s="82"/>
    </row>
    <row r="991">
      <c r="C991" s="82"/>
      <c r="E991" s="82"/>
    </row>
    <row r="992">
      <c r="C992" s="82"/>
      <c r="E992" s="82"/>
    </row>
    <row r="993">
      <c r="C993" s="82"/>
      <c r="E993" s="82"/>
    </row>
    <row r="994">
      <c r="C994" s="82"/>
      <c r="E994" s="82"/>
    </row>
    <row r="995">
      <c r="C995" s="82"/>
      <c r="E995" s="82"/>
    </row>
    <row r="996">
      <c r="C996" s="82"/>
      <c r="E996" s="82"/>
    </row>
    <row r="997">
      <c r="C997" s="82"/>
      <c r="E997" s="82"/>
    </row>
    <row r="998">
      <c r="C998" s="82"/>
      <c r="E998" s="82"/>
    </row>
    <row r="999">
      <c r="C999" s="82"/>
      <c r="E999" s="82"/>
    </row>
    <row r="1000">
      <c r="C1000" s="82"/>
      <c r="E1000" s="82"/>
    </row>
    <row r="1001">
      <c r="C1001" s="82"/>
      <c r="E1001" s="82"/>
    </row>
    <row r="1002">
      <c r="C1002" s="82"/>
      <c r="E1002" s="82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22.63"/>
    <col customWidth="1" min="5" max="5" width="20.5"/>
  </cols>
  <sheetData>
    <row r="1">
      <c r="A1" s="1" t="s">
        <v>647</v>
      </c>
      <c r="B1" s="80">
        <f>COUNTIF(A3:A1002,"*L4*")</f>
        <v>0</v>
      </c>
      <c r="C1" s="1"/>
      <c r="D1" s="81">
        <f>MAIN!C2</f>
        <v>46154</v>
      </c>
    </row>
    <row r="2">
      <c r="A2" s="83" t="s">
        <v>2</v>
      </c>
      <c r="B2" s="83" t="s">
        <v>648</v>
      </c>
      <c r="C2" s="83" t="s">
        <v>649</v>
      </c>
      <c r="D2" s="83" t="s">
        <v>650</v>
      </c>
      <c r="E2" s="83" t="s">
        <v>651</v>
      </c>
    </row>
    <row r="3">
      <c r="A3" s="4" t="str">
        <f>IFERROR(__xludf.DUMMYFUNCTION("QUERY(Master!A2:B1002, ""SELECT A, B WHERE A STARTS WITH 'L4-022'"", 0)"),"#N/A")</f>
        <v>#N/A</v>
      </c>
      <c r="C3" s="82" t="str">
        <f t="array" ref="C3">XLOOKUP(A3,DB!C:C,DB!K:K)</f>
        <v>#N/A</v>
      </c>
      <c r="D3" s="4" t="str">
        <f t="array" ref="D3">XLOOKUP(A3,DB!C:C,DB!B:B)</f>
        <v>#N/A</v>
      </c>
      <c r="E3" s="82" t="str">
        <f t="array" ref="E3">XLOOKUP(A3,DB!C:C,DB!F:F,"" )</f>
        <v>#N/A</v>
      </c>
    </row>
    <row r="4">
      <c r="A4" s="4"/>
      <c r="C4" s="82" t="str">
        <f t="array" ref="C4">XLOOKUP(A4,DB!C:C,DB!K:K)</f>
        <v>#N/A</v>
      </c>
      <c r="D4" s="4" t="str">
        <f t="array" ref="D4">XLOOKUP(A4,DB!C:C,DB!B:B)</f>
        <v>#N/A</v>
      </c>
      <c r="E4" s="82" t="str">
        <f t="array" ref="E4">XLOOKUP(A4,DB!C:C,DB!F:F,"" )</f>
        <v/>
      </c>
    </row>
    <row r="5">
      <c r="A5" s="4"/>
      <c r="C5" s="82" t="str">
        <f t="array" ref="C5">XLOOKUP(A5,DB!C:C,DB!K:K)</f>
        <v>#N/A</v>
      </c>
      <c r="D5" s="4" t="str">
        <f t="array" ref="D5">XLOOKUP(A5,DB!C:C,DB!B:B)</f>
        <v>#N/A</v>
      </c>
      <c r="E5" s="82" t="str">
        <f t="array" ref="E5">XLOOKUP(A5,DB!C:C,DB!F:F,"" )</f>
        <v/>
      </c>
    </row>
    <row r="6">
      <c r="A6" s="4"/>
      <c r="C6" s="82"/>
      <c r="D6" s="4" t="str">
        <f t="array" ref="D6">XLOOKUP(A6,DB!C:C,DB!B:B)</f>
        <v>#N/A</v>
      </c>
      <c r="E6" s="82"/>
    </row>
    <row r="7">
      <c r="A7" s="4"/>
      <c r="C7" s="82"/>
      <c r="E7" s="82"/>
    </row>
    <row r="8">
      <c r="A8" s="4"/>
      <c r="C8" s="82"/>
      <c r="E8" s="82"/>
    </row>
    <row r="9">
      <c r="A9" s="4"/>
      <c r="C9" s="82"/>
      <c r="E9" s="82"/>
    </row>
    <row r="10">
      <c r="A10" s="4"/>
      <c r="C10" s="82"/>
      <c r="E10" s="82"/>
    </row>
    <row r="11">
      <c r="A11" s="4"/>
      <c r="C11" s="82"/>
    </row>
    <row r="12">
      <c r="A12" s="4"/>
      <c r="C12" s="82"/>
    </row>
    <row r="13">
      <c r="A13" s="4"/>
      <c r="C13" s="82"/>
    </row>
    <row r="14">
      <c r="A14" s="4"/>
      <c r="C14" s="82"/>
    </row>
    <row r="15">
      <c r="A15" s="4"/>
      <c r="C15" s="82"/>
    </row>
    <row r="16">
      <c r="A16" s="4"/>
      <c r="C16" s="82"/>
    </row>
    <row r="17">
      <c r="A17" s="4"/>
      <c r="C17" s="82"/>
    </row>
    <row r="18">
      <c r="A18" s="4"/>
      <c r="C18" s="82"/>
    </row>
    <row r="19">
      <c r="A19" s="4"/>
      <c r="C19" s="82"/>
    </row>
    <row r="20">
      <c r="A20" s="4"/>
      <c r="C20" s="82"/>
    </row>
    <row r="21">
      <c r="A21" s="4"/>
      <c r="C21" s="82"/>
    </row>
    <row r="22">
      <c r="A22" s="4"/>
      <c r="C22" s="82"/>
    </row>
    <row r="23">
      <c r="A23" s="4"/>
      <c r="C23" s="82"/>
    </row>
    <row r="24">
      <c r="A24" s="4"/>
      <c r="C24" s="82"/>
    </row>
    <row r="25">
      <c r="A25" s="4"/>
      <c r="C25" s="82"/>
    </row>
    <row r="26">
      <c r="A26" s="4"/>
      <c r="C26" s="82"/>
    </row>
    <row r="27">
      <c r="A27" s="4"/>
      <c r="C27" s="82"/>
    </row>
    <row r="28">
      <c r="A28" s="4"/>
      <c r="C28" s="82"/>
    </row>
    <row r="29">
      <c r="A29" s="4"/>
      <c r="C29" s="82"/>
    </row>
    <row r="30">
      <c r="A30" s="4"/>
      <c r="C30" s="82"/>
    </row>
    <row r="31">
      <c r="A31" s="4"/>
      <c r="C31" s="82"/>
    </row>
    <row r="32">
      <c r="A32" s="4"/>
      <c r="C32" s="82"/>
    </row>
    <row r="33">
      <c r="A33" s="4"/>
      <c r="C33" s="82"/>
    </row>
    <row r="34">
      <c r="A34" s="4"/>
      <c r="C34" s="82"/>
    </row>
    <row r="35">
      <c r="A35" s="4"/>
      <c r="C35" s="82"/>
    </row>
    <row r="36">
      <c r="A36" s="4"/>
      <c r="C36" s="82"/>
    </row>
    <row r="37">
      <c r="A37" s="4"/>
      <c r="C37" s="82"/>
    </row>
    <row r="38">
      <c r="A38" s="4"/>
      <c r="C38" s="82"/>
    </row>
    <row r="39">
      <c r="A39" s="4"/>
      <c r="C39" s="82"/>
    </row>
    <row r="40">
      <c r="A40" s="4"/>
      <c r="C40" s="82"/>
    </row>
    <row r="41">
      <c r="A41" s="4"/>
      <c r="C41" s="82"/>
    </row>
    <row r="42">
      <c r="A42" s="4"/>
      <c r="C42" s="82"/>
    </row>
    <row r="43">
      <c r="A43" s="4"/>
      <c r="C43" s="82"/>
    </row>
    <row r="44">
      <c r="A44" s="4"/>
      <c r="C44" s="82"/>
    </row>
    <row r="45">
      <c r="A45" s="4"/>
      <c r="C45" s="82"/>
    </row>
    <row r="46">
      <c r="A46" s="4"/>
      <c r="C46" s="82"/>
    </row>
    <row r="47">
      <c r="A47" s="4"/>
      <c r="C47" s="82"/>
    </row>
    <row r="48">
      <c r="A48" s="4"/>
      <c r="C48" s="82"/>
    </row>
    <row r="49">
      <c r="A49" s="4"/>
      <c r="C49" s="82"/>
    </row>
    <row r="50">
      <c r="A50" s="4"/>
      <c r="C50" s="82"/>
    </row>
    <row r="51">
      <c r="A51" s="4"/>
      <c r="C51" s="82"/>
    </row>
    <row r="52">
      <c r="A52" s="4"/>
      <c r="C52" s="82"/>
    </row>
    <row r="53">
      <c r="A53" s="4"/>
      <c r="C53" s="82"/>
    </row>
    <row r="54">
      <c r="A54" s="4"/>
      <c r="C54" s="82"/>
    </row>
    <row r="55">
      <c r="A55" s="4"/>
      <c r="C55" s="82"/>
    </row>
    <row r="56">
      <c r="A56" s="4"/>
      <c r="C56" s="82"/>
    </row>
    <row r="57">
      <c r="A57" s="4"/>
      <c r="C57" s="82"/>
    </row>
    <row r="58">
      <c r="A58" s="4"/>
      <c r="C58" s="82"/>
    </row>
    <row r="59">
      <c r="A59" s="4"/>
      <c r="C59" s="82"/>
    </row>
    <row r="60">
      <c r="A60" s="4"/>
      <c r="C60" s="82"/>
    </row>
    <row r="61">
      <c r="A61" s="4"/>
      <c r="C61" s="82"/>
    </row>
    <row r="62">
      <c r="A62" s="4"/>
      <c r="C62" s="82"/>
    </row>
    <row r="63">
      <c r="A63" s="4"/>
      <c r="C63" s="82"/>
    </row>
    <row r="64">
      <c r="A64" s="4"/>
      <c r="C64" s="82"/>
    </row>
    <row r="65">
      <c r="A65" s="4"/>
      <c r="C65" s="82"/>
    </row>
    <row r="66">
      <c r="A66" s="4"/>
      <c r="C66" s="82"/>
    </row>
    <row r="67">
      <c r="A67" s="4"/>
      <c r="C67" s="82"/>
    </row>
    <row r="68">
      <c r="A68" s="4"/>
      <c r="C68" s="82"/>
    </row>
    <row r="69">
      <c r="A69" s="4"/>
      <c r="C69" s="82"/>
    </row>
    <row r="70">
      <c r="A70" s="4"/>
      <c r="C70" s="82"/>
    </row>
    <row r="71">
      <c r="A71" s="4"/>
      <c r="C71" s="82"/>
    </row>
    <row r="72">
      <c r="A72" s="4"/>
      <c r="C72" s="82"/>
    </row>
    <row r="73">
      <c r="A73" s="4"/>
      <c r="C73" s="82"/>
    </row>
    <row r="74">
      <c r="A74" s="4"/>
      <c r="C74" s="82"/>
    </row>
    <row r="75">
      <c r="A75" s="4"/>
      <c r="C75" s="82"/>
    </row>
    <row r="76">
      <c r="A76" s="4"/>
      <c r="C76" s="82"/>
    </row>
    <row r="77">
      <c r="A77" s="4"/>
      <c r="C77" s="82"/>
    </row>
    <row r="78">
      <c r="A78" s="4"/>
      <c r="C78" s="82"/>
    </row>
    <row r="79">
      <c r="A79" s="4"/>
      <c r="C79" s="82"/>
    </row>
    <row r="80">
      <c r="A80" s="4"/>
      <c r="C80" s="82"/>
    </row>
    <row r="81">
      <c r="A81" s="4"/>
      <c r="C81" s="82"/>
    </row>
    <row r="82">
      <c r="A82" s="4"/>
      <c r="C82" s="82"/>
    </row>
    <row r="83">
      <c r="A83" s="4"/>
      <c r="C83" s="82"/>
    </row>
    <row r="84">
      <c r="A84" s="4"/>
      <c r="C84" s="82"/>
    </row>
    <row r="85">
      <c r="A85" s="4"/>
      <c r="C85" s="82"/>
    </row>
    <row r="86">
      <c r="A86" s="4"/>
      <c r="C86" s="82"/>
    </row>
    <row r="87">
      <c r="A87" s="4"/>
      <c r="C87" s="82"/>
    </row>
    <row r="88">
      <c r="A88" s="4"/>
      <c r="C88" s="82"/>
    </row>
    <row r="89">
      <c r="A89" s="4"/>
      <c r="C89" s="82"/>
    </row>
    <row r="90">
      <c r="A90" s="4"/>
      <c r="C90" s="82"/>
    </row>
    <row r="91">
      <c r="A91" s="4"/>
      <c r="C91" s="82"/>
    </row>
    <row r="92">
      <c r="A92" s="4"/>
      <c r="C92" s="82"/>
    </row>
    <row r="93">
      <c r="A93" s="4"/>
      <c r="C93" s="82"/>
    </row>
    <row r="94">
      <c r="A94" s="4"/>
      <c r="C94" s="82"/>
    </row>
    <row r="95">
      <c r="A95" s="4"/>
      <c r="C95" s="82"/>
    </row>
    <row r="96">
      <c r="A96" s="4"/>
      <c r="C96" s="82"/>
    </row>
    <row r="97">
      <c r="A97" s="4"/>
      <c r="C97" s="82"/>
    </row>
    <row r="98">
      <c r="A98" s="4"/>
      <c r="C98" s="82"/>
    </row>
    <row r="99">
      <c r="A99" s="4"/>
      <c r="C99" s="82"/>
    </row>
    <row r="100">
      <c r="A100" s="4"/>
      <c r="C100" s="82"/>
    </row>
    <row r="101">
      <c r="C101" s="82"/>
    </row>
    <row r="102">
      <c r="C102" s="82"/>
    </row>
    <row r="103">
      <c r="C103" s="82"/>
    </row>
    <row r="104">
      <c r="C104" s="82"/>
    </row>
    <row r="105">
      <c r="C105" s="82"/>
    </row>
    <row r="106">
      <c r="C106" s="82"/>
    </row>
    <row r="107">
      <c r="C107" s="82"/>
    </row>
    <row r="108">
      <c r="C108" s="82"/>
    </row>
    <row r="109">
      <c r="C109" s="82"/>
    </row>
    <row r="110">
      <c r="C110" s="82"/>
    </row>
    <row r="111">
      <c r="C111" s="82"/>
    </row>
    <row r="112">
      <c r="C112" s="82"/>
    </row>
    <row r="113">
      <c r="C113" s="82"/>
    </row>
    <row r="114">
      <c r="C114" s="82"/>
    </row>
    <row r="115">
      <c r="C115" s="82"/>
    </row>
    <row r="116">
      <c r="C116" s="82"/>
    </row>
    <row r="117">
      <c r="C117" s="82"/>
    </row>
    <row r="118">
      <c r="C118" s="82"/>
    </row>
    <row r="119">
      <c r="C119" s="82"/>
    </row>
    <row r="120">
      <c r="C120" s="82"/>
    </row>
    <row r="121">
      <c r="C121" s="82"/>
    </row>
    <row r="122">
      <c r="C122" s="82"/>
    </row>
    <row r="123">
      <c r="C123" s="82"/>
    </row>
    <row r="124">
      <c r="C124" s="82"/>
    </row>
    <row r="125">
      <c r="C125" s="82"/>
    </row>
    <row r="126">
      <c r="C126" s="82"/>
    </row>
    <row r="127">
      <c r="C127" s="82"/>
    </row>
    <row r="128">
      <c r="C128" s="82"/>
    </row>
    <row r="129">
      <c r="C129" s="82"/>
    </row>
    <row r="130">
      <c r="C130" s="82"/>
    </row>
    <row r="131">
      <c r="C131" s="82"/>
    </row>
    <row r="132">
      <c r="C132" s="82"/>
    </row>
    <row r="133">
      <c r="C133" s="82"/>
    </row>
    <row r="134">
      <c r="C134" s="82"/>
    </row>
    <row r="135">
      <c r="C135" s="82"/>
    </row>
    <row r="136">
      <c r="C136" s="82"/>
    </row>
    <row r="137">
      <c r="C137" s="82"/>
    </row>
    <row r="138">
      <c r="C138" s="82"/>
    </row>
    <row r="139">
      <c r="C139" s="82"/>
    </row>
    <row r="140">
      <c r="C140" s="82"/>
    </row>
    <row r="141">
      <c r="C141" s="82"/>
    </row>
    <row r="142">
      <c r="C142" s="82"/>
    </row>
    <row r="143">
      <c r="C143" s="82"/>
    </row>
    <row r="144">
      <c r="C144" s="82"/>
    </row>
    <row r="145">
      <c r="C145" s="82"/>
    </row>
    <row r="146">
      <c r="C146" s="82"/>
    </row>
    <row r="147">
      <c r="C147" s="82"/>
    </row>
    <row r="148">
      <c r="C148" s="82"/>
    </row>
    <row r="149">
      <c r="C149" s="82"/>
    </row>
    <row r="150">
      <c r="C150" s="82"/>
    </row>
    <row r="151">
      <c r="C151" s="82"/>
    </row>
    <row r="152">
      <c r="C152" s="82"/>
    </row>
    <row r="153">
      <c r="C153" s="82"/>
    </row>
    <row r="154">
      <c r="C154" s="82"/>
    </row>
    <row r="155">
      <c r="C155" s="82"/>
    </row>
    <row r="156">
      <c r="C156" s="82"/>
    </row>
    <row r="157">
      <c r="C157" s="82"/>
    </row>
    <row r="158">
      <c r="C158" s="82"/>
    </row>
    <row r="159">
      <c r="C159" s="82"/>
    </row>
    <row r="160">
      <c r="C160" s="82"/>
    </row>
    <row r="161">
      <c r="C161" s="82"/>
    </row>
    <row r="162">
      <c r="C162" s="82"/>
    </row>
    <row r="163">
      <c r="C163" s="82"/>
    </row>
    <row r="164">
      <c r="C164" s="82"/>
    </row>
    <row r="165">
      <c r="C165" s="82"/>
    </row>
    <row r="166">
      <c r="C166" s="82"/>
    </row>
    <row r="167">
      <c r="C167" s="82"/>
    </row>
    <row r="168">
      <c r="C168" s="82"/>
    </row>
    <row r="169">
      <c r="C169" s="82"/>
    </row>
    <row r="170">
      <c r="C170" s="82"/>
    </row>
    <row r="171">
      <c r="C171" s="82"/>
    </row>
    <row r="172">
      <c r="C172" s="82"/>
    </row>
    <row r="173">
      <c r="C173" s="82"/>
    </row>
    <row r="174">
      <c r="C174" s="82"/>
    </row>
    <row r="175">
      <c r="C175" s="82"/>
    </row>
    <row r="176">
      <c r="C176" s="82"/>
    </row>
    <row r="177">
      <c r="C177" s="82"/>
    </row>
    <row r="178">
      <c r="C178" s="82"/>
    </row>
    <row r="179">
      <c r="C179" s="82"/>
    </row>
    <row r="180">
      <c r="C180" s="82"/>
    </row>
    <row r="181">
      <c r="C181" s="82"/>
    </row>
    <row r="182">
      <c r="C182" s="82"/>
    </row>
    <row r="183">
      <c r="C183" s="82"/>
    </row>
    <row r="184">
      <c r="C184" s="82"/>
    </row>
    <row r="185">
      <c r="C185" s="82"/>
    </row>
    <row r="186">
      <c r="C186" s="82"/>
    </row>
    <row r="187">
      <c r="C187" s="82"/>
    </row>
    <row r="188">
      <c r="C188" s="82"/>
    </row>
    <row r="189">
      <c r="C189" s="82"/>
    </row>
    <row r="190">
      <c r="C190" s="82"/>
    </row>
    <row r="191">
      <c r="C191" s="82"/>
    </row>
    <row r="192">
      <c r="C192" s="82"/>
    </row>
    <row r="193">
      <c r="C193" s="82"/>
    </row>
    <row r="194">
      <c r="C194" s="82"/>
    </row>
    <row r="195">
      <c r="C195" s="82"/>
    </row>
    <row r="196">
      <c r="C196" s="82"/>
    </row>
    <row r="197">
      <c r="C197" s="82"/>
    </row>
    <row r="198">
      <c r="C198" s="82"/>
    </row>
    <row r="199">
      <c r="C199" s="82"/>
    </row>
    <row r="200">
      <c r="C200" s="82"/>
    </row>
    <row r="201">
      <c r="C201" s="82"/>
    </row>
    <row r="202">
      <c r="C202" s="82"/>
    </row>
    <row r="203">
      <c r="C203" s="82"/>
    </row>
    <row r="204">
      <c r="C204" s="82"/>
    </row>
    <row r="205">
      <c r="C205" s="82"/>
    </row>
    <row r="206">
      <c r="C206" s="82"/>
    </row>
    <row r="207">
      <c r="C207" s="82"/>
    </row>
    <row r="208">
      <c r="C208" s="82"/>
    </row>
    <row r="209">
      <c r="C209" s="82"/>
    </row>
    <row r="210">
      <c r="C210" s="82"/>
    </row>
    <row r="211">
      <c r="C211" s="82"/>
    </row>
    <row r="212">
      <c r="C212" s="82"/>
    </row>
    <row r="213">
      <c r="C213" s="82"/>
    </row>
    <row r="214">
      <c r="C214" s="82"/>
    </row>
    <row r="215">
      <c r="C215" s="82"/>
    </row>
    <row r="216">
      <c r="C216" s="82"/>
    </row>
    <row r="217">
      <c r="C217" s="82"/>
    </row>
    <row r="218">
      <c r="C218" s="82"/>
    </row>
    <row r="219">
      <c r="C219" s="82"/>
    </row>
    <row r="220">
      <c r="C220" s="82"/>
    </row>
    <row r="221">
      <c r="C221" s="82"/>
    </row>
    <row r="222">
      <c r="C222" s="82"/>
    </row>
    <row r="223">
      <c r="C223" s="82"/>
    </row>
    <row r="224">
      <c r="C224" s="82"/>
    </row>
    <row r="225">
      <c r="C225" s="82"/>
    </row>
    <row r="226">
      <c r="C226" s="82"/>
    </row>
    <row r="227">
      <c r="C227" s="82"/>
    </row>
    <row r="228">
      <c r="C228" s="82"/>
    </row>
    <row r="229">
      <c r="C229" s="82"/>
    </row>
    <row r="230">
      <c r="C230" s="82"/>
    </row>
    <row r="231">
      <c r="C231" s="82"/>
    </row>
    <row r="232">
      <c r="C232" s="82"/>
    </row>
    <row r="233">
      <c r="C233" s="82"/>
    </row>
    <row r="234">
      <c r="C234" s="82"/>
    </row>
    <row r="235">
      <c r="C235" s="82"/>
    </row>
    <row r="236">
      <c r="C236" s="82"/>
    </row>
    <row r="237">
      <c r="C237" s="82"/>
    </row>
    <row r="238">
      <c r="C238" s="82"/>
    </row>
    <row r="239">
      <c r="C239" s="82"/>
    </row>
    <row r="240">
      <c r="C240" s="82"/>
    </row>
    <row r="241">
      <c r="C241" s="82"/>
    </row>
    <row r="242">
      <c r="C242" s="82"/>
    </row>
    <row r="243">
      <c r="C243" s="82"/>
    </row>
    <row r="244">
      <c r="C244" s="82"/>
    </row>
    <row r="245">
      <c r="C245" s="82"/>
    </row>
    <row r="246">
      <c r="C246" s="82"/>
    </row>
    <row r="247">
      <c r="C247" s="82"/>
    </row>
    <row r="248">
      <c r="C248" s="82"/>
    </row>
    <row r="249">
      <c r="C249" s="82"/>
    </row>
    <row r="250">
      <c r="C250" s="82"/>
    </row>
    <row r="251">
      <c r="C251" s="82"/>
    </row>
    <row r="252">
      <c r="C252" s="82"/>
    </row>
    <row r="253">
      <c r="C253" s="82"/>
    </row>
    <row r="254">
      <c r="C254" s="82"/>
    </row>
    <row r="255">
      <c r="C255" s="82"/>
    </row>
    <row r="256">
      <c r="C256" s="82"/>
    </row>
    <row r="257">
      <c r="C257" s="82"/>
    </row>
    <row r="258">
      <c r="C258" s="82"/>
    </row>
    <row r="259">
      <c r="C259" s="82"/>
    </row>
    <row r="260">
      <c r="C260" s="82"/>
    </row>
    <row r="261">
      <c r="C261" s="82"/>
    </row>
    <row r="262">
      <c r="C262" s="82"/>
    </row>
    <row r="263">
      <c r="C263" s="82"/>
    </row>
    <row r="264">
      <c r="C264" s="82"/>
    </row>
    <row r="265">
      <c r="C265" s="82"/>
    </row>
    <row r="266">
      <c r="C266" s="82"/>
    </row>
    <row r="267">
      <c r="C267" s="82"/>
    </row>
    <row r="268">
      <c r="C268" s="82"/>
    </row>
    <row r="269">
      <c r="C269" s="82"/>
    </row>
    <row r="270">
      <c r="C270" s="82"/>
    </row>
    <row r="271">
      <c r="C271" s="82"/>
    </row>
    <row r="272">
      <c r="C272" s="82"/>
    </row>
    <row r="273">
      <c r="C273" s="82"/>
    </row>
    <row r="274">
      <c r="C274" s="82"/>
    </row>
    <row r="275">
      <c r="C275" s="82"/>
    </row>
    <row r="276">
      <c r="C276" s="82"/>
    </row>
    <row r="277">
      <c r="C277" s="82"/>
    </row>
    <row r="278">
      <c r="C278" s="82"/>
    </row>
    <row r="279">
      <c r="C279" s="82"/>
    </row>
    <row r="280">
      <c r="C280" s="82"/>
    </row>
    <row r="281">
      <c r="C281" s="82"/>
    </row>
    <row r="282">
      <c r="C282" s="82"/>
    </row>
    <row r="283">
      <c r="C283" s="82"/>
    </row>
    <row r="284">
      <c r="C284" s="82"/>
    </row>
    <row r="285">
      <c r="C285" s="82"/>
    </row>
    <row r="286">
      <c r="C286" s="82"/>
    </row>
    <row r="287">
      <c r="C287" s="82"/>
    </row>
    <row r="288">
      <c r="C288" s="82"/>
    </row>
    <row r="289">
      <c r="C289" s="82"/>
    </row>
    <row r="290">
      <c r="C290" s="82"/>
    </row>
    <row r="291">
      <c r="C291" s="82"/>
    </row>
    <row r="292">
      <c r="C292" s="82"/>
    </row>
    <row r="293">
      <c r="C293" s="82"/>
    </row>
    <row r="294">
      <c r="C294" s="82"/>
    </row>
    <row r="295">
      <c r="C295" s="82"/>
    </row>
    <row r="296">
      <c r="C296" s="82"/>
    </row>
    <row r="297">
      <c r="C297" s="82"/>
    </row>
    <row r="298">
      <c r="C298" s="82"/>
    </row>
    <row r="299">
      <c r="C299" s="82"/>
    </row>
    <row r="300">
      <c r="C300" s="82"/>
    </row>
    <row r="301">
      <c r="C301" s="82"/>
    </row>
    <row r="302">
      <c r="C302" s="82"/>
    </row>
    <row r="303">
      <c r="C303" s="82"/>
    </row>
    <row r="304">
      <c r="C304" s="82"/>
    </row>
    <row r="305">
      <c r="C305" s="82"/>
    </row>
    <row r="306">
      <c r="C306" s="82"/>
    </row>
    <row r="307">
      <c r="C307" s="82"/>
    </row>
    <row r="308">
      <c r="C308" s="82"/>
    </row>
    <row r="309">
      <c r="C309" s="82"/>
    </row>
    <row r="310">
      <c r="C310" s="82"/>
    </row>
    <row r="311">
      <c r="C311" s="82"/>
    </row>
    <row r="312">
      <c r="C312" s="82"/>
    </row>
    <row r="313">
      <c r="C313" s="82"/>
    </row>
    <row r="314">
      <c r="C314" s="82"/>
    </row>
    <row r="315">
      <c r="C315" s="82"/>
    </row>
    <row r="316">
      <c r="C316" s="82"/>
    </row>
    <row r="317">
      <c r="C317" s="82"/>
    </row>
    <row r="318">
      <c r="C318" s="82"/>
    </row>
    <row r="319">
      <c r="C319" s="82"/>
    </row>
    <row r="320">
      <c r="C320" s="82"/>
    </row>
    <row r="321">
      <c r="C321" s="82"/>
    </row>
    <row r="322">
      <c r="C322" s="82"/>
    </row>
    <row r="323">
      <c r="C323" s="82"/>
    </row>
    <row r="324">
      <c r="C324" s="82"/>
    </row>
    <row r="325">
      <c r="C325" s="82"/>
    </row>
    <row r="326">
      <c r="C326" s="82"/>
    </row>
    <row r="327">
      <c r="C327" s="82"/>
    </row>
    <row r="328">
      <c r="C328" s="82"/>
    </row>
    <row r="329">
      <c r="C329" s="82"/>
    </row>
    <row r="330">
      <c r="C330" s="82"/>
    </row>
    <row r="331">
      <c r="C331" s="82"/>
    </row>
    <row r="332">
      <c r="C332" s="82"/>
    </row>
    <row r="333">
      <c r="C333" s="82"/>
    </row>
    <row r="334">
      <c r="C334" s="82"/>
    </row>
    <row r="335">
      <c r="C335" s="82"/>
    </row>
    <row r="336">
      <c r="C336" s="82"/>
    </row>
    <row r="337">
      <c r="C337" s="82"/>
    </row>
    <row r="338">
      <c r="C338" s="82"/>
    </row>
    <row r="339">
      <c r="C339" s="82"/>
    </row>
    <row r="340">
      <c r="C340" s="82"/>
    </row>
    <row r="341">
      <c r="C341" s="82"/>
    </row>
    <row r="342">
      <c r="C342" s="82"/>
    </row>
    <row r="343">
      <c r="C343" s="82"/>
    </row>
    <row r="344">
      <c r="C344" s="82"/>
    </row>
    <row r="345">
      <c r="C345" s="82"/>
    </row>
    <row r="346">
      <c r="C346" s="82"/>
    </row>
    <row r="347">
      <c r="C347" s="82"/>
    </row>
    <row r="348">
      <c r="C348" s="82"/>
    </row>
    <row r="349">
      <c r="C349" s="82"/>
    </row>
    <row r="350">
      <c r="C350" s="82"/>
    </row>
    <row r="351">
      <c r="C351" s="82"/>
    </row>
    <row r="352">
      <c r="C352" s="82"/>
    </row>
    <row r="353">
      <c r="C353" s="82"/>
    </row>
    <row r="354">
      <c r="C354" s="82"/>
    </row>
    <row r="355">
      <c r="C355" s="82"/>
    </row>
    <row r="356">
      <c r="C356" s="82"/>
    </row>
    <row r="357">
      <c r="C357" s="82"/>
    </row>
    <row r="358">
      <c r="C358" s="82"/>
    </row>
    <row r="359">
      <c r="C359" s="82"/>
    </row>
    <row r="360">
      <c r="C360" s="82"/>
    </row>
    <row r="361">
      <c r="C361" s="82"/>
    </row>
    <row r="362">
      <c r="C362" s="82"/>
    </row>
    <row r="363">
      <c r="C363" s="82"/>
    </row>
    <row r="364">
      <c r="C364" s="82"/>
    </row>
    <row r="365">
      <c r="C365" s="82"/>
    </row>
    <row r="366">
      <c r="C366" s="82"/>
    </row>
    <row r="367">
      <c r="C367" s="82"/>
    </row>
    <row r="368">
      <c r="C368" s="82"/>
    </row>
    <row r="369">
      <c r="C369" s="82"/>
    </row>
    <row r="370">
      <c r="C370" s="82"/>
    </row>
    <row r="371">
      <c r="C371" s="82"/>
    </row>
    <row r="372">
      <c r="C372" s="82"/>
    </row>
    <row r="373">
      <c r="C373" s="82"/>
    </row>
    <row r="374">
      <c r="C374" s="82"/>
    </row>
    <row r="375">
      <c r="C375" s="82"/>
    </row>
    <row r="376">
      <c r="C376" s="82"/>
    </row>
    <row r="377">
      <c r="C377" s="82"/>
    </row>
    <row r="378">
      <c r="C378" s="82"/>
    </row>
    <row r="379">
      <c r="C379" s="82"/>
    </row>
    <row r="380">
      <c r="C380" s="82"/>
    </row>
    <row r="381">
      <c r="C381" s="82"/>
    </row>
    <row r="382">
      <c r="C382" s="82"/>
    </row>
    <row r="383">
      <c r="C383" s="82"/>
    </row>
    <row r="384">
      <c r="C384" s="82"/>
    </row>
    <row r="385">
      <c r="C385" s="82"/>
    </row>
    <row r="386">
      <c r="C386" s="82"/>
    </row>
    <row r="387">
      <c r="C387" s="82"/>
    </row>
    <row r="388">
      <c r="C388" s="82"/>
    </row>
    <row r="389">
      <c r="C389" s="82"/>
    </row>
    <row r="390">
      <c r="C390" s="82"/>
    </row>
    <row r="391">
      <c r="C391" s="82"/>
    </row>
    <row r="392">
      <c r="C392" s="82"/>
    </row>
    <row r="393">
      <c r="C393" s="82"/>
    </row>
    <row r="394">
      <c r="C394" s="82"/>
    </row>
    <row r="395">
      <c r="C395" s="82"/>
    </row>
    <row r="396">
      <c r="C396" s="82"/>
    </row>
    <row r="397">
      <c r="C397" s="82"/>
    </row>
    <row r="398">
      <c r="C398" s="82"/>
    </row>
    <row r="399">
      <c r="C399" s="82"/>
    </row>
    <row r="400">
      <c r="C400" s="82"/>
    </row>
    <row r="401">
      <c r="C401" s="82"/>
    </row>
    <row r="402">
      <c r="C402" s="82"/>
    </row>
    <row r="403">
      <c r="C403" s="82"/>
    </row>
    <row r="404">
      <c r="C404" s="82"/>
    </row>
    <row r="405">
      <c r="C405" s="82"/>
    </row>
    <row r="406">
      <c r="C406" s="82"/>
    </row>
    <row r="407">
      <c r="C407" s="82"/>
    </row>
    <row r="408">
      <c r="C408" s="82"/>
    </row>
    <row r="409">
      <c r="C409" s="82"/>
    </row>
    <row r="410">
      <c r="C410" s="82"/>
    </row>
    <row r="411">
      <c r="C411" s="82"/>
    </row>
    <row r="412">
      <c r="C412" s="82"/>
    </row>
    <row r="413">
      <c r="C413" s="82"/>
    </row>
    <row r="414">
      <c r="C414" s="82"/>
    </row>
    <row r="415">
      <c r="C415" s="82"/>
    </row>
    <row r="416">
      <c r="C416" s="82"/>
    </row>
    <row r="417">
      <c r="C417" s="82"/>
    </row>
    <row r="418">
      <c r="C418" s="82"/>
    </row>
    <row r="419">
      <c r="C419" s="82"/>
    </row>
    <row r="420">
      <c r="C420" s="82"/>
    </row>
    <row r="421">
      <c r="C421" s="82"/>
    </row>
    <row r="422">
      <c r="C422" s="82"/>
    </row>
    <row r="423">
      <c r="C423" s="82"/>
    </row>
    <row r="424">
      <c r="C424" s="82"/>
    </row>
    <row r="425">
      <c r="C425" s="82"/>
    </row>
    <row r="426">
      <c r="C426" s="82"/>
    </row>
    <row r="427">
      <c r="C427" s="82"/>
    </row>
    <row r="428">
      <c r="C428" s="82"/>
    </row>
    <row r="429">
      <c r="C429" s="82"/>
    </row>
    <row r="430">
      <c r="C430" s="82"/>
    </row>
    <row r="431">
      <c r="C431" s="82"/>
    </row>
    <row r="432">
      <c r="C432" s="82"/>
    </row>
    <row r="433">
      <c r="C433" s="82"/>
    </row>
    <row r="434">
      <c r="C434" s="82"/>
    </row>
    <row r="435">
      <c r="C435" s="82"/>
    </row>
    <row r="436">
      <c r="C436" s="82"/>
    </row>
    <row r="437">
      <c r="C437" s="82"/>
    </row>
    <row r="438">
      <c r="C438" s="82"/>
    </row>
    <row r="439">
      <c r="C439" s="82"/>
    </row>
    <row r="440">
      <c r="C440" s="82"/>
    </row>
    <row r="441">
      <c r="C441" s="82"/>
    </row>
    <row r="442">
      <c r="C442" s="82"/>
    </row>
    <row r="443">
      <c r="C443" s="82"/>
    </row>
    <row r="444">
      <c r="C444" s="82"/>
    </row>
    <row r="445">
      <c r="C445" s="82"/>
    </row>
    <row r="446">
      <c r="C446" s="82"/>
    </row>
    <row r="447">
      <c r="C447" s="82"/>
    </row>
    <row r="448">
      <c r="C448" s="82"/>
    </row>
    <row r="449">
      <c r="C449" s="82"/>
    </row>
    <row r="450">
      <c r="C450" s="82"/>
    </row>
    <row r="451">
      <c r="C451" s="82"/>
    </row>
    <row r="452">
      <c r="C452" s="82"/>
    </row>
    <row r="453">
      <c r="C453" s="82"/>
    </row>
    <row r="454">
      <c r="C454" s="82"/>
    </row>
    <row r="455">
      <c r="C455" s="82"/>
    </row>
    <row r="456">
      <c r="C456" s="82"/>
    </row>
    <row r="457">
      <c r="C457" s="82"/>
    </row>
    <row r="458">
      <c r="C458" s="82"/>
    </row>
    <row r="459">
      <c r="C459" s="82"/>
    </row>
    <row r="460">
      <c r="C460" s="82"/>
    </row>
    <row r="461">
      <c r="C461" s="82"/>
    </row>
    <row r="462">
      <c r="C462" s="82"/>
    </row>
    <row r="463">
      <c r="C463" s="82"/>
    </row>
    <row r="464">
      <c r="C464" s="82"/>
    </row>
    <row r="465">
      <c r="C465" s="82"/>
    </row>
    <row r="466">
      <c r="C466" s="82"/>
    </row>
    <row r="467">
      <c r="C467" s="82"/>
    </row>
    <row r="468">
      <c r="C468" s="82"/>
    </row>
    <row r="469">
      <c r="C469" s="82"/>
    </row>
    <row r="470">
      <c r="C470" s="82"/>
    </row>
    <row r="471">
      <c r="C471" s="82"/>
    </row>
    <row r="472">
      <c r="C472" s="82"/>
    </row>
    <row r="473">
      <c r="C473" s="82"/>
    </row>
    <row r="474">
      <c r="C474" s="82"/>
    </row>
    <row r="475">
      <c r="C475" s="82"/>
    </row>
    <row r="476">
      <c r="C476" s="82"/>
    </row>
    <row r="477">
      <c r="C477" s="82"/>
    </row>
    <row r="478">
      <c r="C478" s="82"/>
    </row>
    <row r="479">
      <c r="C479" s="82"/>
    </row>
    <row r="480">
      <c r="C480" s="82"/>
    </row>
    <row r="481">
      <c r="C481" s="82"/>
    </row>
    <row r="482">
      <c r="C482" s="82"/>
    </row>
    <row r="483">
      <c r="C483" s="82"/>
    </row>
    <row r="484">
      <c r="C484" s="82"/>
    </row>
    <row r="485">
      <c r="C485" s="82"/>
    </row>
    <row r="486">
      <c r="C486" s="82"/>
    </row>
    <row r="487">
      <c r="C487" s="82"/>
    </row>
    <row r="488">
      <c r="C488" s="82"/>
    </row>
    <row r="489">
      <c r="C489" s="82"/>
    </row>
    <row r="490">
      <c r="C490" s="82"/>
    </row>
    <row r="491">
      <c r="C491" s="82"/>
    </row>
    <row r="492">
      <c r="C492" s="82"/>
    </row>
    <row r="493">
      <c r="C493" s="82"/>
    </row>
    <row r="494">
      <c r="C494" s="82"/>
    </row>
    <row r="495">
      <c r="C495" s="82"/>
    </row>
    <row r="496">
      <c r="C496" s="82"/>
    </row>
    <row r="497">
      <c r="C497" s="82"/>
    </row>
    <row r="498">
      <c r="C498" s="82"/>
    </row>
    <row r="499">
      <c r="C499" s="82"/>
    </row>
    <row r="500">
      <c r="C500" s="82"/>
    </row>
    <row r="501">
      <c r="C501" s="82"/>
    </row>
    <row r="502">
      <c r="C502" s="82"/>
    </row>
    <row r="503">
      <c r="C503" s="82"/>
    </row>
    <row r="504">
      <c r="C504" s="82"/>
    </row>
    <row r="505">
      <c r="C505" s="82"/>
    </row>
    <row r="506">
      <c r="C506" s="82"/>
    </row>
    <row r="507">
      <c r="C507" s="82"/>
    </row>
    <row r="508">
      <c r="C508" s="82"/>
    </row>
    <row r="509">
      <c r="C509" s="82"/>
    </row>
    <row r="510">
      <c r="C510" s="82"/>
    </row>
    <row r="511">
      <c r="C511" s="82"/>
    </row>
    <row r="512">
      <c r="C512" s="82"/>
    </row>
    <row r="513">
      <c r="C513" s="82"/>
    </row>
    <row r="514">
      <c r="C514" s="82"/>
    </row>
    <row r="515">
      <c r="C515" s="82"/>
    </row>
    <row r="516">
      <c r="C516" s="82"/>
    </row>
    <row r="517">
      <c r="C517" s="82"/>
    </row>
    <row r="518">
      <c r="C518" s="82"/>
    </row>
    <row r="519">
      <c r="C519" s="82"/>
    </row>
    <row r="520">
      <c r="C520" s="82"/>
    </row>
    <row r="521">
      <c r="C521" s="82"/>
    </row>
    <row r="522">
      <c r="C522" s="82"/>
    </row>
    <row r="523">
      <c r="C523" s="82"/>
    </row>
    <row r="524">
      <c r="C524" s="82"/>
    </row>
    <row r="525">
      <c r="C525" s="82"/>
    </row>
    <row r="526">
      <c r="C526" s="82"/>
    </row>
    <row r="527">
      <c r="C527" s="82"/>
    </row>
    <row r="528">
      <c r="C528" s="82"/>
    </row>
    <row r="529">
      <c r="C529" s="82"/>
    </row>
    <row r="530">
      <c r="C530" s="82"/>
    </row>
    <row r="531">
      <c r="C531" s="82"/>
    </row>
    <row r="532">
      <c r="C532" s="82"/>
    </row>
    <row r="533">
      <c r="C533" s="82"/>
    </row>
    <row r="534">
      <c r="C534" s="82"/>
    </row>
    <row r="535">
      <c r="C535" s="82"/>
    </row>
    <row r="536">
      <c r="C536" s="82"/>
    </row>
    <row r="537">
      <c r="C537" s="82"/>
    </row>
    <row r="538">
      <c r="C538" s="82"/>
    </row>
    <row r="539">
      <c r="C539" s="82"/>
    </row>
    <row r="540">
      <c r="C540" s="82"/>
    </row>
    <row r="541">
      <c r="C541" s="82"/>
    </row>
    <row r="542">
      <c r="C542" s="82"/>
    </row>
    <row r="543">
      <c r="C543" s="82"/>
    </row>
    <row r="544">
      <c r="C544" s="82"/>
    </row>
    <row r="545">
      <c r="C545" s="82"/>
    </row>
    <row r="546">
      <c r="C546" s="82"/>
    </row>
    <row r="547">
      <c r="C547" s="82"/>
    </row>
    <row r="548">
      <c r="C548" s="82"/>
    </row>
    <row r="549">
      <c r="C549" s="82"/>
    </row>
    <row r="550">
      <c r="C550" s="82"/>
    </row>
    <row r="551">
      <c r="C551" s="82"/>
    </row>
    <row r="552">
      <c r="C552" s="82"/>
    </row>
    <row r="553">
      <c r="C553" s="82"/>
    </row>
    <row r="554">
      <c r="C554" s="82"/>
    </row>
    <row r="555">
      <c r="C555" s="82"/>
    </row>
    <row r="556">
      <c r="C556" s="82"/>
    </row>
    <row r="557">
      <c r="C557" s="82"/>
    </row>
    <row r="558">
      <c r="C558" s="82"/>
    </row>
    <row r="559">
      <c r="C559" s="82"/>
    </row>
    <row r="560">
      <c r="C560" s="82"/>
    </row>
    <row r="561">
      <c r="C561" s="82"/>
    </row>
    <row r="562">
      <c r="C562" s="82"/>
    </row>
    <row r="563">
      <c r="C563" s="82"/>
    </row>
    <row r="564">
      <c r="C564" s="82"/>
    </row>
    <row r="565">
      <c r="C565" s="82"/>
    </row>
    <row r="566">
      <c r="C566" s="82"/>
    </row>
    <row r="567">
      <c r="C567" s="82"/>
    </row>
    <row r="568">
      <c r="C568" s="82"/>
    </row>
    <row r="569">
      <c r="C569" s="82"/>
    </row>
    <row r="570">
      <c r="C570" s="82"/>
    </row>
    <row r="571">
      <c r="C571" s="82"/>
    </row>
    <row r="572">
      <c r="C572" s="82"/>
    </row>
    <row r="573">
      <c r="C573" s="82"/>
    </row>
    <row r="574">
      <c r="C574" s="82"/>
    </row>
    <row r="575">
      <c r="C575" s="82"/>
    </row>
    <row r="576">
      <c r="C576" s="82"/>
    </row>
    <row r="577">
      <c r="C577" s="82"/>
    </row>
    <row r="578">
      <c r="C578" s="82"/>
    </row>
    <row r="579">
      <c r="C579" s="82"/>
    </row>
    <row r="580">
      <c r="C580" s="82"/>
    </row>
    <row r="581">
      <c r="C581" s="82"/>
    </row>
    <row r="582">
      <c r="C582" s="82"/>
    </row>
    <row r="583">
      <c r="C583" s="82"/>
    </row>
    <row r="584">
      <c r="C584" s="82"/>
    </row>
    <row r="585">
      <c r="C585" s="82"/>
    </row>
    <row r="586">
      <c r="C586" s="82"/>
    </row>
    <row r="587">
      <c r="C587" s="82"/>
    </row>
    <row r="588">
      <c r="C588" s="82"/>
    </row>
    <row r="589">
      <c r="C589" s="82"/>
    </row>
    <row r="590">
      <c r="C590" s="82"/>
    </row>
    <row r="591">
      <c r="C591" s="82"/>
    </row>
    <row r="592">
      <c r="C592" s="82"/>
    </row>
    <row r="593">
      <c r="C593" s="82"/>
    </row>
    <row r="594">
      <c r="C594" s="82"/>
    </row>
    <row r="595">
      <c r="C595" s="82"/>
    </row>
    <row r="596">
      <c r="C596" s="82"/>
    </row>
    <row r="597">
      <c r="C597" s="82"/>
    </row>
    <row r="598">
      <c r="C598" s="82"/>
    </row>
    <row r="599">
      <c r="C599" s="82"/>
    </row>
    <row r="600">
      <c r="C600" s="82"/>
    </row>
    <row r="601">
      <c r="C601" s="82"/>
    </row>
    <row r="602">
      <c r="C602" s="82"/>
    </row>
    <row r="603">
      <c r="C603" s="82"/>
    </row>
    <row r="604">
      <c r="C604" s="82"/>
    </row>
    <row r="605">
      <c r="C605" s="82"/>
    </row>
    <row r="606">
      <c r="C606" s="82"/>
    </row>
    <row r="607">
      <c r="C607" s="82"/>
    </row>
    <row r="608">
      <c r="C608" s="82"/>
    </row>
    <row r="609">
      <c r="C609" s="82"/>
    </row>
    <row r="610">
      <c r="C610" s="82"/>
    </row>
    <row r="611">
      <c r="C611" s="82"/>
    </row>
    <row r="612">
      <c r="C612" s="82"/>
    </row>
    <row r="613">
      <c r="C613" s="82"/>
    </row>
    <row r="614">
      <c r="C614" s="82"/>
    </row>
    <row r="615">
      <c r="C615" s="82"/>
    </row>
    <row r="616">
      <c r="C616" s="82"/>
    </row>
    <row r="617">
      <c r="C617" s="82"/>
    </row>
    <row r="618">
      <c r="C618" s="82"/>
    </row>
    <row r="619">
      <c r="C619" s="82"/>
    </row>
    <row r="620">
      <c r="C620" s="82"/>
    </row>
    <row r="621">
      <c r="C621" s="82"/>
    </row>
    <row r="622">
      <c r="C622" s="82"/>
    </row>
    <row r="623">
      <c r="C623" s="82"/>
    </row>
    <row r="624">
      <c r="C624" s="82"/>
    </row>
    <row r="625">
      <c r="C625" s="82"/>
    </row>
    <row r="626">
      <c r="C626" s="82"/>
    </row>
    <row r="627">
      <c r="C627" s="82"/>
    </row>
    <row r="628">
      <c r="C628" s="82"/>
    </row>
    <row r="629">
      <c r="C629" s="82"/>
    </row>
    <row r="630">
      <c r="C630" s="82"/>
    </row>
    <row r="631">
      <c r="C631" s="82"/>
    </row>
    <row r="632">
      <c r="C632" s="82"/>
    </row>
    <row r="633">
      <c r="C633" s="82"/>
    </row>
    <row r="634">
      <c r="C634" s="82"/>
    </row>
    <row r="635">
      <c r="C635" s="82"/>
    </row>
    <row r="636">
      <c r="C636" s="82"/>
    </row>
    <row r="637">
      <c r="C637" s="82"/>
    </row>
    <row r="638">
      <c r="C638" s="82"/>
    </row>
    <row r="639">
      <c r="C639" s="82"/>
    </row>
    <row r="640">
      <c r="C640" s="82"/>
    </row>
    <row r="641">
      <c r="C641" s="82"/>
    </row>
    <row r="642">
      <c r="C642" s="82"/>
    </row>
    <row r="643">
      <c r="C643" s="82"/>
    </row>
    <row r="644">
      <c r="C644" s="82"/>
    </row>
    <row r="645">
      <c r="C645" s="82"/>
    </row>
    <row r="646">
      <c r="C646" s="82"/>
    </row>
    <row r="647">
      <c r="C647" s="82"/>
    </row>
    <row r="648">
      <c r="C648" s="82"/>
    </row>
    <row r="649">
      <c r="C649" s="82"/>
    </row>
    <row r="650">
      <c r="C650" s="82"/>
    </row>
    <row r="651">
      <c r="C651" s="82"/>
    </row>
    <row r="652">
      <c r="C652" s="82"/>
    </row>
    <row r="653">
      <c r="C653" s="82"/>
    </row>
    <row r="654">
      <c r="C654" s="82"/>
    </row>
    <row r="655">
      <c r="C655" s="82"/>
    </row>
    <row r="656">
      <c r="C656" s="82"/>
    </row>
    <row r="657">
      <c r="C657" s="82"/>
    </row>
    <row r="658">
      <c r="C658" s="82"/>
    </row>
    <row r="659">
      <c r="C659" s="82"/>
    </row>
    <row r="660">
      <c r="C660" s="82"/>
    </row>
    <row r="661">
      <c r="C661" s="82"/>
    </row>
    <row r="662">
      <c r="C662" s="82"/>
    </row>
    <row r="663">
      <c r="C663" s="82"/>
    </row>
    <row r="664">
      <c r="C664" s="82"/>
    </row>
    <row r="665">
      <c r="C665" s="82"/>
    </row>
    <row r="666">
      <c r="C666" s="82"/>
    </row>
    <row r="667">
      <c r="C667" s="82"/>
    </row>
    <row r="668">
      <c r="C668" s="82"/>
    </row>
    <row r="669">
      <c r="C669" s="82"/>
    </row>
    <row r="670">
      <c r="C670" s="82"/>
    </row>
    <row r="671">
      <c r="C671" s="82"/>
    </row>
    <row r="672">
      <c r="C672" s="82"/>
    </row>
    <row r="673">
      <c r="C673" s="82"/>
    </row>
    <row r="674">
      <c r="C674" s="82"/>
    </row>
    <row r="675">
      <c r="C675" s="82"/>
    </row>
    <row r="676">
      <c r="C676" s="82"/>
    </row>
    <row r="677">
      <c r="C677" s="82"/>
    </row>
    <row r="678">
      <c r="C678" s="82"/>
    </row>
    <row r="679">
      <c r="C679" s="82"/>
    </row>
    <row r="680">
      <c r="C680" s="82"/>
    </row>
    <row r="681">
      <c r="C681" s="82"/>
    </row>
    <row r="682">
      <c r="C682" s="82"/>
    </row>
    <row r="683">
      <c r="C683" s="82"/>
    </row>
    <row r="684">
      <c r="C684" s="82"/>
    </row>
    <row r="685">
      <c r="C685" s="82"/>
    </row>
    <row r="686">
      <c r="C686" s="82"/>
    </row>
    <row r="687">
      <c r="C687" s="82"/>
    </row>
    <row r="688">
      <c r="C688" s="82"/>
    </row>
    <row r="689">
      <c r="C689" s="82"/>
    </row>
    <row r="690">
      <c r="C690" s="82"/>
    </row>
    <row r="691">
      <c r="C691" s="82"/>
    </row>
    <row r="692">
      <c r="C692" s="82"/>
    </row>
    <row r="693">
      <c r="C693" s="82"/>
    </row>
    <row r="694">
      <c r="C694" s="82"/>
    </row>
    <row r="695">
      <c r="C695" s="82"/>
    </row>
    <row r="696">
      <c r="C696" s="82"/>
    </row>
    <row r="697">
      <c r="C697" s="82"/>
    </row>
    <row r="698">
      <c r="C698" s="82"/>
    </row>
    <row r="699">
      <c r="C699" s="82"/>
    </row>
    <row r="700">
      <c r="C700" s="82"/>
    </row>
    <row r="701">
      <c r="C701" s="82"/>
    </row>
    <row r="702">
      <c r="C702" s="82"/>
    </row>
    <row r="703">
      <c r="C703" s="82"/>
    </row>
    <row r="704">
      <c r="C704" s="82"/>
    </row>
    <row r="705">
      <c r="C705" s="82"/>
    </row>
    <row r="706">
      <c r="C706" s="82"/>
    </row>
    <row r="707">
      <c r="C707" s="82"/>
    </row>
    <row r="708">
      <c r="C708" s="82"/>
    </row>
    <row r="709">
      <c r="C709" s="82"/>
    </row>
    <row r="710">
      <c r="C710" s="82"/>
    </row>
    <row r="711">
      <c r="C711" s="82"/>
    </row>
    <row r="712">
      <c r="C712" s="82"/>
    </row>
    <row r="713">
      <c r="C713" s="82"/>
    </row>
    <row r="714">
      <c r="C714" s="82"/>
    </row>
    <row r="715">
      <c r="C715" s="82"/>
    </row>
    <row r="716">
      <c r="C716" s="82"/>
    </row>
    <row r="717">
      <c r="C717" s="82"/>
    </row>
    <row r="718">
      <c r="C718" s="82"/>
    </row>
    <row r="719">
      <c r="C719" s="82"/>
    </row>
    <row r="720">
      <c r="C720" s="82"/>
    </row>
    <row r="721">
      <c r="C721" s="82"/>
    </row>
    <row r="722">
      <c r="C722" s="82"/>
    </row>
    <row r="723">
      <c r="C723" s="82"/>
    </row>
    <row r="724">
      <c r="C724" s="82"/>
    </row>
    <row r="725">
      <c r="C725" s="82"/>
    </row>
    <row r="726">
      <c r="C726" s="82"/>
    </row>
    <row r="727">
      <c r="C727" s="82"/>
    </row>
    <row r="728">
      <c r="C728" s="82"/>
    </row>
    <row r="729">
      <c r="C729" s="82"/>
    </row>
    <row r="730">
      <c r="C730" s="82"/>
    </row>
    <row r="731">
      <c r="C731" s="82"/>
    </row>
    <row r="732">
      <c r="C732" s="82"/>
    </row>
    <row r="733">
      <c r="C733" s="82"/>
    </row>
    <row r="734">
      <c r="C734" s="82"/>
    </row>
    <row r="735">
      <c r="C735" s="82"/>
    </row>
    <row r="736">
      <c r="C736" s="82"/>
    </row>
    <row r="737">
      <c r="C737" s="82"/>
    </row>
    <row r="738">
      <c r="C738" s="82"/>
    </row>
    <row r="739">
      <c r="C739" s="82"/>
    </row>
    <row r="740">
      <c r="C740" s="82"/>
    </row>
    <row r="741">
      <c r="C741" s="82"/>
    </row>
    <row r="742">
      <c r="C742" s="82"/>
    </row>
    <row r="743">
      <c r="C743" s="82"/>
    </row>
    <row r="744">
      <c r="C744" s="82"/>
    </row>
    <row r="745">
      <c r="C745" s="82"/>
    </row>
    <row r="746">
      <c r="C746" s="82"/>
    </row>
    <row r="747">
      <c r="C747" s="82"/>
    </row>
    <row r="748">
      <c r="C748" s="82"/>
    </row>
    <row r="749">
      <c r="C749" s="82"/>
    </row>
    <row r="750">
      <c r="C750" s="82"/>
    </row>
    <row r="751">
      <c r="C751" s="82"/>
    </row>
    <row r="752">
      <c r="C752" s="82"/>
    </row>
    <row r="753">
      <c r="C753" s="82"/>
    </row>
    <row r="754">
      <c r="C754" s="82"/>
    </row>
    <row r="755">
      <c r="C755" s="82"/>
    </row>
    <row r="756">
      <c r="C756" s="82"/>
    </row>
    <row r="757">
      <c r="C757" s="82"/>
    </row>
    <row r="758">
      <c r="C758" s="82"/>
    </row>
    <row r="759">
      <c r="C759" s="82"/>
    </row>
    <row r="760">
      <c r="C760" s="82"/>
    </row>
    <row r="761">
      <c r="C761" s="82"/>
    </row>
    <row r="762">
      <c r="C762" s="82"/>
    </row>
    <row r="763">
      <c r="C763" s="82"/>
    </row>
    <row r="764">
      <c r="C764" s="82"/>
    </row>
    <row r="765">
      <c r="C765" s="82"/>
    </row>
    <row r="766">
      <c r="C766" s="82"/>
    </row>
    <row r="767">
      <c r="C767" s="82"/>
    </row>
    <row r="768">
      <c r="C768" s="82"/>
    </row>
    <row r="769">
      <c r="C769" s="82"/>
    </row>
    <row r="770">
      <c r="C770" s="82"/>
    </row>
    <row r="771">
      <c r="C771" s="82"/>
    </row>
    <row r="772">
      <c r="C772" s="82"/>
    </row>
    <row r="773">
      <c r="C773" s="82"/>
    </row>
    <row r="774">
      <c r="C774" s="82"/>
    </row>
    <row r="775">
      <c r="C775" s="82"/>
    </row>
    <row r="776">
      <c r="C776" s="82"/>
    </row>
    <row r="777">
      <c r="C777" s="82"/>
    </row>
    <row r="778">
      <c r="C778" s="82"/>
    </row>
    <row r="779">
      <c r="C779" s="82"/>
    </row>
    <row r="780">
      <c r="C780" s="82"/>
    </row>
    <row r="781">
      <c r="C781" s="82"/>
    </row>
    <row r="782">
      <c r="C782" s="82"/>
    </row>
    <row r="783">
      <c r="C783" s="82"/>
    </row>
    <row r="784">
      <c r="C784" s="82"/>
    </row>
    <row r="785">
      <c r="C785" s="82"/>
    </row>
    <row r="786">
      <c r="C786" s="82"/>
    </row>
    <row r="787">
      <c r="C787" s="82"/>
    </row>
    <row r="788">
      <c r="C788" s="82"/>
    </row>
    <row r="789">
      <c r="C789" s="82"/>
    </row>
    <row r="790">
      <c r="C790" s="82"/>
    </row>
    <row r="791">
      <c r="C791" s="82"/>
    </row>
    <row r="792">
      <c r="C792" s="82"/>
    </row>
    <row r="793">
      <c r="C793" s="82"/>
    </row>
    <row r="794">
      <c r="C794" s="82"/>
    </row>
    <row r="795">
      <c r="C795" s="82"/>
    </row>
    <row r="796">
      <c r="C796" s="82"/>
    </row>
    <row r="797">
      <c r="C797" s="82"/>
    </row>
    <row r="798">
      <c r="C798" s="82"/>
    </row>
    <row r="799">
      <c r="C799" s="82"/>
    </row>
    <row r="800">
      <c r="C800" s="82"/>
    </row>
    <row r="801">
      <c r="C801" s="82"/>
    </row>
    <row r="802">
      <c r="C802" s="82"/>
    </row>
    <row r="803">
      <c r="C803" s="82"/>
    </row>
    <row r="804">
      <c r="C804" s="82"/>
    </row>
    <row r="805">
      <c r="C805" s="82"/>
    </row>
    <row r="806">
      <c r="C806" s="82"/>
    </row>
    <row r="807">
      <c r="C807" s="82"/>
    </row>
    <row r="808">
      <c r="C808" s="82"/>
    </row>
    <row r="809">
      <c r="C809" s="82"/>
    </row>
    <row r="810">
      <c r="C810" s="82"/>
    </row>
    <row r="811">
      <c r="C811" s="82"/>
    </row>
    <row r="812">
      <c r="C812" s="82"/>
    </row>
    <row r="813">
      <c r="C813" s="82"/>
    </row>
    <row r="814">
      <c r="C814" s="82"/>
    </row>
    <row r="815">
      <c r="C815" s="82"/>
    </row>
    <row r="816">
      <c r="C816" s="82"/>
    </row>
    <row r="817">
      <c r="C817" s="82"/>
    </row>
    <row r="818">
      <c r="C818" s="82"/>
    </row>
    <row r="819">
      <c r="C819" s="82"/>
    </row>
    <row r="820">
      <c r="C820" s="82"/>
    </row>
    <row r="821">
      <c r="C821" s="82"/>
    </row>
    <row r="822">
      <c r="C822" s="82"/>
    </row>
    <row r="823">
      <c r="C823" s="82"/>
    </row>
    <row r="824">
      <c r="C824" s="82"/>
    </row>
    <row r="825">
      <c r="C825" s="82"/>
    </row>
    <row r="826">
      <c r="C826" s="82"/>
    </row>
    <row r="827">
      <c r="C827" s="82"/>
    </row>
    <row r="828">
      <c r="C828" s="82"/>
    </row>
    <row r="829">
      <c r="C829" s="82"/>
    </row>
    <row r="830">
      <c r="C830" s="82"/>
    </row>
    <row r="831">
      <c r="C831" s="82"/>
    </row>
    <row r="832">
      <c r="C832" s="82"/>
    </row>
    <row r="833">
      <c r="C833" s="82"/>
    </row>
    <row r="834">
      <c r="C834" s="82"/>
    </row>
    <row r="835">
      <c r="C835" s="82"/>
    </row>
    <row r="836">
      <c r="C836" s="82"/>
    </row>
    <row r="837">
      <c r="C837" s="82"/>
    </row>
    <row r="838">
      <c r="C838" s="82"/>
    </row>
    <row r="839">
      <c r="C839" s="82"/>
    </row>
    <row r="840">
      <c r="C840" s="82"/>
    </row>
    <row r="841">
      <c r="C841" s="82"/>
    </row>
    <row r="842">
      <c r="C842" s="82"/>
    </row>
    <row r="843">
      <c r="C843" s="82"/>
    </row>
    <row r="844">
      <c r="C844" s="82"/>
    </row>
    <row r="845">
      <c r="C845" s="82"/>
    </row>
    <row r="846">
      <c r="C846" s="82"/>
    </row>
    <row r="847">
      <c r="C847" s="82"/>
    </row>
    <row r="848">
      <c r="C848" s="82"/>
    </row>
    <row r="849">
      <c r="C849" s="82"/>
    </row>
    <row r="850">
      <c r="C850" s="82"/>
    </row>
    <row r="851">
      <c r="C851" s="82"/>
    </row>
    <row r="852">
      <c r="C852" s="82"/>
    </row>
    <row r="853">
      <c r="C853" s="82"/>
    </row>
    <row r="854">
      <c r="C854" s="82"/>
    </row>
    <row r="855">
      <c r="C855" s="82"/>
    </row>
    <row r="856">
      <c r="C856" s="82"/>
    </row>
    <row r="857">
      <c r="C857" s="82"/>
    </row>
    <row r="858">
      <c r="C858" s="82"/>
    </row>
    <row r="859">
      <c r="C859" s="82"/>
    </row>
    <row r="860">
      <c r="C860" s="82"/>
    </row>
    <row r="861">
      <c r="C861" s="82"/>
    </row>
    <row r="862">
      <c r="C862" s="82"/>
    </row>
    <row r="863">
      <c r="C863" s="82"/>
    </row>
    <row r="864">
      <c r="C864" s="82"/>
    </row>
    <row r="865">
      <c r="C865" s="82"/>
    </row>
    <row r="866">
      <c r="C866" s="82"/>
    </row>
    <row r="867">
      <c r="C867" s="82"/>
    </row>
    <row r="868">
      <c r="C868" s="82"/>
    </row>
    <row r="869">
      <c r="C869" s="82"/>
    </row>
    <row r="870">
      <c r="C870" s="82"/>
    </row>
    <row r="871">
      <c r="C871" s="82"/>
    </row>
    <row r="872">
      <c r="C872" s="82"/>
    </row>
    <row r="873">
      <c r="C873" s="82"/>
    </row>
    <row r="874">
      <c r="C874" s="82"/>
    </row>
    <row r="875">
      <c r="C875" s="82"/>
    </row>
    <row r="876">
      <c r="C876" s="82"/>
    </row>
    <row r="877">
      <c r="C877" s="82"/>
    </row>
    <row r="878">
      <c r="C878" s="82"/>
    </row>
    <row r="879">
      <c r="C879" s="82"/>
    </row>
    <row r="880">
      <c r="C880" s="82"/>
    </row>
    <row r="881">
      <c r="C881" s="82"/>
    </row>
    <row r="882">
      <c r="C882" s="82"/>
    </row>
    <row r="883">
      <c r="C883" s="82"/>
    </row>
    <row r="884">
      <c r="C884" s="82"/>
    </row>
    <row r="885">
      <c r="C885" s="82"/>
    </row>
    <row r="886">
      <c r="C886" s="82"/>
    </row>
    <row r="887">
      <c r="C887" s="82"/>
    </row>
    <row r="888">
      <c r="C888" s="82"/>
    </row>
    <row r="889">
      <c r="C889" s="82"/>
    </row>
    <row r="890">
      <c r="C890" s="82"/>
    </row>
    <row r="891">
      <c r="C891" s="82"/>
    </row>
    <row r="892">
      <c r="C892" s="82"/>
    </row>
    <row r="893">
      <c r="C893" s="82"/>
    </row>
    <row r="894">
      <c r="C894" s="82"/>
    </row>
    <row r="895">
      <c r="C895" s="82"/>
    </row>
    <row r="896">
      <c r="C896" s="82"/>
    </row>
    <row r="897">
      <c r="C897" s="82"/>
    </row>
    <row r="898">
      <c r="C898" s="82"/>
    </row>
    <row r="899">
      <c r="C899" s="82"/>
    </row>
    <row r="900">
      <c r="C900" s="82"/>
    </row>
    <row r="901">
      <c r="C901" s="82"/>
    </row>
    <row r="902">
      <c r="C902" s="82"/>
    </row>
    <row r="903">
      <c r="C903" s="82"/>
    </row>
    <row r="904">
      <c r="C904" s="82"/>
    </row>
    <row r="905">
      <c r="C905" s="82"/>
    </row>
    <row r="906">
      <c r="C906" s="82"/>
    </row>
    <row r="907">
      <c r="C907" s="82"/>
    </row>
    <row r="908">
      <c r="C908" s="82"/>
    </row>
    <row r="909">
      <c r="C909" s="82"/>
    </row>
    <row r="910">
      <c r="C910" s="82"/>
    </row>
    <row r="911">
      <c r="C911" s="82"/>
    </row>
    <row r="912">
      <c r="C912" s="82"/>
    </row>
    <row r="913">
      <c r="C913" s="82"/>
    </row>
    <row r="914">
      <c r="C914" s="82"/>
    </row>
    <row r="915">
      <c r="C915" s="82"/>
    </row>
    <row r="916">
      <c r="C916" s="82"/>
    </row>
    <row r="917">
      <c r="C917" s="82"/>
    </row>
    <row r="918">
      <c r="C918" s="82"/>
    </row>
    <row r="919">
      <c r="C919" s="82"/>
    </row>
    <row r="920">
      <c r="C920" s="82"/>
    </row>
    <row r="921">
      <c r="C921" s="82"/>
    </row>
    <row r="922">
      <c r="C922" s="82"/>
    </row>
    <row r="923">
      <c r="C923" s="82"/>
    </row>
    <row r="924">
      <c r="C924" s="82"/>
    </row>
    <row r="925">
      <c r="C925" s="82"/>
    </row>
    <row r="926">
      <c r="C926" s="82"/>
    </row>
    <row r="927">
      <c r="C927" s="82"/>
    </row>
    <row r="928">
      <c r="C928" s="82"/>
    </row>
    <row r="929">
      <c r="C929" s="82"/>
    </row>
    <row r="930">
      <c r="C930" s="82"/>
    </row>
    <row r="931">
      <c r="C931" s="82"/>
    </row>
    <row r="932">
      <c r="C932" s="82"/>
    </row>
    <row r="933">
      <c r="C933" s="82"/>
    </row>
    <row r="934">
      <c r="C934" s="82"/>
    </row>
    <row r="935">
      <c r="C935" s="82"/>
    </row>
    <row r="936">
      <c r="C936" s="82"/>
    </row>
    <row r="937">
      <c r="C937" s="82"/>
    </row>
    <row r="938">
      <c r="C938" s="82"/>
    </row>
    <row r="939">
      <c r="C939" s="82"/>
    </row>
    <row r="940">
      <c r="C940" s="82"/>
    </row>
    <row r="941">
      <c r="C941" s="82"/>
    </row>
    <row r="942">
      <c r="C942" s="82"/>
    </row>
    <row r="943">
      <c r="C943" s="82"/>
    </row>
    <row r="944">
      <c r="C944" s="82"/>
    </row>
    <row r="945">
      <c r="C945" s="82"/>
    </row>
    <row r="946">
      <c r="C946" s="82"/>
    </row>
    <row r="947">
      <c r="C947" s="82"/>
    </row>
    <row r="948">
      <c r="C948" s="82"/>
    </row>
    <row r="949">
      <c r="C949" s="82"/>
    </row>
    <row r="950">
      <c r="C950" s="82"/>
    </row>
    <row r="951">
      <c r="C951" s="82"/>
    </row>
    <row r="952">
      <c r="C952" s="82"/>
    </row>
    <row r="953">
      <c r="C953" s="82"/>
    </row>
    <row r="954">
      <c r="C954" s="82"/>
    </row>
    <row r="955">
      <c r="C955" s="82"/>
    </row>
    <row r="956">
      <c r="C956" s="82"/>
    </row>
    <row r="957">
      <c r="C957" s="82"/>
    </row>
    <row r="958">
      <c r="C958" s="82"/>
    </row>
    <row r="959">
      <c r="C959" s="82"/>
    </row>
    <row r="960">
      <c r="C960" s="82"/>
    </row>
    <row r="961">
      <c r="C961" s="82"/>
    </row>
    <row r="962">
      <c r="C962" s="82"/>
    </row>
    <row r="963">
      <c r="C963" s="82"/>
    </row>
    <row r="964">
      <c r="C964" s="82"/>
    </row>
    <row r="965">
      <c r="C965" s="82"/>
    </row>
    <row r="966">
      <c r="C966" s="82"/>
    </row>
    <row r="967">
      <c r="C967" s="82"/>
    </row>
    <row r="968">
      <c r="C968" s="82"/>
    </row>
    <row r="969">
      <c r="C969" s="82"/>
    </row>
    <row r="970">
      <c r="C970" s="82"/>
    </row>
    <row r="971">
      <c r="C971" s="82"/>
    </row>
    <row r="972">
      <c r="C972" s="82"/>
    </row>
    <row r="973">
      <c r="C973" s="82"/>
    </row>
    <row r="974">
      <c r="C974" s="82"/>
    </row>
    <row r="975">
      <c r="C975" s="82"/>
    </row>
    <row r="976">
      <c r="C976" s="82"/>
    </row>
    <row r="977">
      <c r="C977" s="82"/>
    </row>
    <row r="978">
      <c r="C978" s="82"/>
    </row>
    <row r="979">
      <c r="C979" s="82"/>
    </row>
    <row r="980">
      <c r="C980" s="82"/>
    </row>
    <row r="981">
      <c r="C981" s="82"/>
    </row>
    <row r="982">
      <c r="C982" s="82"/>
    </row>
    <row r="983">
      <c r="C983" s="82"/>
    </row>
    <row r="984">
      <c r="C984" s="82"/>
    </row>
    <row r="985">
      <c r="C985" s="82"/>
    </row>
    <row r="986">
      <c r="C986" s="82"/>
    </row>
    <row r="987">
      <c r="C987" s="82"/>
    </row>
    <row r="988">
      <c r="C988" s="82"/>
    </row>
    <row r="989">
      <c r="C989" s="82"/>
    </row>
    <row r="990">
      <c r="C990" s="82"/>
    </row>
    <row r="991">
      <c r="C991" s="82"/>
    </row>
    <row r="992">
      <c r="C992" s="82"/>
    </row>
    <row r="993">
      <c r="C993" s="82"/>
    </row>
    <row r="994">
      <c r="C994" s="82"/>
    </row>
    <row r="995">
      <c r="C995" s="82"/>
    </row>
    <row r="996">
      <c r="C996" s="82"/>
    </row>
    <row r="997">
      <c r="C997" s="82"/>
    </row>
    <row r="998">
      <c r="C998" s="82"/>
    </row>
    <row r="999">
      <c r="C999" s="82"/>
    </row>
    <row r="1000">
      <c r="C1000" s="82"/>
    </row>
    <row r="1001">
      <c r="C1001" s="82"/>
    </row>
    <row r="1002">
      <c r="C1002" s="82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647</v>
      </c>
      <c r="B1" s="80">
        <f>COUNTIF(A3:A1002,"*L4*")</f>
        <v>18</v>
      </c>
      <c r="C1" s="1"/>
      <c r="D1" s="81">
        <f>MAIN!C2</f>
        <v>46154</v>
      </c>
    </row>
    <row r="2">
      <c r="A2" s="89" t="s">
        <v>2</v>
      </c>
      <c r="B2" s="90" t="s">
        <v>648</v>
      </c>
      <c r="C2" s="90" t="s">
        <v>649</v>
      </c>
      <c r="D2" s="91" t="s">
        <v>650</v>
      </c>
      <c r="E2" s="83" t="s">
        <v>651</v>
      </c>
    </row>
    <row r="3">
      <c r="A3" s="4"/>
      <c r="C3" s="4" t="str">
        <f t="array" ref="C3">XLOOKUP(A3,DB!C:C,DB!K:K)</f>
        <v>#N/A</v>
      </c>
      <c r="D3" s="4" t="str">
        <f t="array" ref="D3">XLOOKUP(A3,DB!C:C,DB!B:B,)</f>
        <v/>
      </c>
      <c r="E3" s="82" t="str">
        <f t="array" ref="E3">XLOOKUP(A3,DB!C:C,DB!F:F,"" )</f>
        <v/>
      </c>
    </row>
    <row r="4">
      <c r="A4" s="2" t="s">
        <v>14</v>
      </c>
    </row>
    <row r="5">
      <c r="A5" s="2" t="s">
        <v>621</v>
      </c>
      <c r="B5" s="2" t="s">
        <v>622</v>
      </c>
      <c r="C5" s="2" t="s">
        <v>652</v>
      </c>
    </row>
    <row r="6">
      <c r="A6" s="2" t="s">
        <v>71</v>
      </c>
      <c r="B6" s="2" t="s">
        <v>653</v>
      </c>
    </row>
    <row r="7">
      <c r="A7" s="2" t="s">
        <v>580</v>
      </c>
      <c r="B7" s="2" t="s">
        <v>654</v>
      </c>
    </row>
    <row r="8">
      <c r="A8" s="4"/>
    </row>
    <row r="9">
      <c r="A9" s="2" t="s">
        <v>108</v>
      </c>
    </row>
    <row r="10">
      <c r="A10" s="2" t="s">
        <v>571</v>
      </c>
      <c r="B10" s="2" t="s">
        <v>572</v>
      </c>
      <c r="C10" s="2" t="s">
        <v>655</v>
      </c>
    </row>
    <row r="11">
      <c r="A11" s="4"/>
    </row>
    <row r="12">
      <c r="A12" s="2" t="s">
        <v>130</v>
      </c>
    </row>
    <row r="13">
      <c r="A13" s="2" t="s">
        <v>95</v>
      </c>
      <c r="B13" s="2" t="s">
        <v>624</v>
      </c>
      <c r="C13" s="2" t="s">
        <v>656</v>
      </c>
    </row>
    <row r="14">
      <c r="A14" s="2" t="s">
        <v>627</v>
      </c>
      <c r="B14" s="2" t="s">
        <v>657</v>
      </c>
    </row>
    <row r="15">
      <c r="A15" s="4"/>
    </row>
    <row r="16">
      <c r="A16" s="2" t="s">
        <v>139</v>
      </c>
    </row>
    <row r="17">
      <c r="A17" s="2" t="s">
        <v>150</v>
      </c>
      <c r="B17" s="2" t="s">
        <v>658</v>
      </c>
    </row>
    <row r="18">
      <c r="A18" s="4"/>
    </row>
    <row r="19">
      <c r="A19" s="2" t="s">
        <v>178</v>
      </c>
    </row>
    <row r="20">
      <c r="A20" s="2" t="s">
        <v>200</v>
      </c>
      <c r="B20" s="2" t="s">
        <v>659</v>
      </c>
    </row>
    <row r="21">
      <c r="A21" s="2" t="s">
        <v>629</v>
      </c>
      <c r="B21" s="2" t="s">
        <v>630</v>
      </c>
      <c r="C21" s="2" t="s">
        <v>660</v>
      </c>
    </row>
    <row r="22">
      <c r="A22" s="2" t="s">
        <v>99</v>
      </c>
      <c r="B22" s="2" t="s">
        <v>661</v>
      </c>
    </row>
    <row r="23">
      <c r="A23" s="2" t="s">
        <v>216</v>
      </c>
      <c r="B23" s="2" t="s">
        <v>662</v>
      </c>
    </row>
    <row r="24">
      <c r="A24" s="2" t="s">
        <v>633</v>
      </c>
      <c r="B24" s="2" t="s">
        <v>663</v>
      </c>
    </row>
    <row r="25">
      <c r="A25" s="4"/>
    </row>
    <row r="26">
      <c r="A26" s="2" t="s">
        <v>248</v>
      </c>
    </row>
    <row r="27">
      <c r="A27" s="2" t="s">
        <v>256</v>
      </c>
      <c r="B27" s="2" t="s">
        <v>257</v>
      </c>
      <c r="C27" s="2" t="s">
        <v>660</v>
      </c>
    </row>
    <row r="28">
      <c r="A28" s="2" t="s">
        <v>250</v>
      </c>
      <c r="B28" s="2" t="s">
        <v>251</v>
      </c>
      <c r="C28" s="2" t="s">
        <v>660</v>
      </c>
    </row>
    <row r="29">
      <c r="A29" s="4"/>
    </row>
    <row r="30">
      <c r="A30" s="2" t="s">
        <v>293</v>
      </c>
    </row>
    <row r="31">
      <c r="A31" s="2" t="s">
        <v>636</v>
      </c>
      <c r="B31" s="2" t="s">
        <v>664</v>
      </c>
    </row>
    <row r="32">
      <c r="A32" s="2" t="s">
        <v>568</v>
      </c>
      <c r="B32" s="2" t="s">
        <v>665</v>
      </c>
    </row>
    <row r="33">
      <c r="A33" s="4"/>
    </row>
    <row r="34">
      <c r="A34" s="2" t="s">
        <v>307</v>
      </c>
    </row>
    <row r="35">
      <c r="A35" s="2" t="s">
        <v>638</v>
      </c>
      <c r="B35" s="2" t="s">
        <v>666</v>
      </c>
    </row>
    <row r="36">
      <c r="A36" s="2" t="s">
        <v>318</v>
      </c>
      <c r="B36" s="2" t="s">
        <v>640</v>
      </c>
      <c r="C36" s="2" t="s">
        <v>660</v>
      </c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</sheetData>
  <conditionalFormatting sqref="B3:B100">
    <cfRule type="expression" dxfId="1" priority="1">
      <formula>$D3&gt;$D$1</formula>
    </cfRule>
  </conditionalFormatting>
  <conditionalFormatting sqref="A3:A1002">
    <cfRule type="expression" dxfId="0" priority="2">
      <formula>COUNTIF($A$3:A3, A3) &gt; 1</formula>
    </cfRule>
  </conditionalFormatting>
  <conditionalFormatting sqref="A3:A100">
    <cfRule type="expression" dxfId="0" priority="3">
      <formula>COUNTIF(INDIRECT("DB!C:C"), A3)&gt;0
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2.88"/>
    <col customWidth="1" min="3" max="11" width="18.88"/>
  </cols>
  <sheetData>
    <row r="1" ht="22.5" hidden="1" customHeight="1">
      <c r="A1" s="92" t="s">
        <v>667</v>
      </c>
      <c r="B1" s="92" t="s">
        <v>668</v>
      </c>
      <c r="C1" s="93" t="s">
        <v>669</v>
      </c>
      <c r="D1" s="93" t="s">
        <v>670</v>
      </c>
      <c r="E1" s="93" t="s">
        <v>671</v>
      </c>
    </row>
    <row r="2" ht="22.5" customHeight="1">
      <c r="A2" s="94"/>
      <c r="B2" s="95"/>
      <c r="C2" s="95"/>
      <c r="D2" s="95"/>
      <c r="E2" s="95"/>
    </row>
    <row r="3" ht="22.5" customHeight="1">
      <c r="A3" s="96"/>
    </row>
    <row r="5">
      <c r="A5" s="2" t="s">
        <v>14</v>
      </c>
    </row>
    <row r="6">
      <c r="A6" s="2" t="s">
        <v>621</v>
      </c>
      <c r="B6" s="2" t="s">
        <v>622</v>
      </c>
      <c r="C6" s="4" t="str">
        <f>IFERROR(__xludf.DUMMYFUNCTION("IFERROR(REGEXEXTRACT(B6,""\(([^)]*)\)""),"""")"),"")</f>
        <v/>
      </c>
      <c r="D6" s="4" t="str">
        <f>IFERROR(__xludf.DUMMYFUNCTION("TRIM(REGEXREPLACE(B6,""\s*\(.*?\)"",""""))"),"Bagong Barrio Elementary School")</f>
        <v>Bagong Barrio Elementary School</v>
      </c>
    </row>
    <row r="7">
      <c r="A7" s="2" t="s">
        <v>71</v>
      </c>
      <c r="B7" s="2" t="s">
        <v>653</v>
      </c>
      <c r="C7" s="4" t="str">
        <f>IFERROR(__xludf.DUMMYFUNCTION("IFERROR(REGEXEXTRACT(B7,""\(([^)]*)\)""),"""")"),"NO POWER DEFECTIVE COMMBOX BREAKER")</f>
        <v>NO POWER DEFECTIVE COMMBOX BREAKER</v>
      </c>
      <c r="D7" s="4" t="str">
        <f>IFERROR(__xludf.DUMMYFUNCTION("TRIM(REGEXREPLACE(B7,""\s*\(.*?\)"",""""))"),"Pres. Diosdado Macapagal Memorial Medical Center")</f>
        <v>Pres. Diosdado Macapagal Memorial Medical Center</v>
      </c>
    </row>
    <row r="8">
      <c r="A8" s="2" t="s">
        <v>580</v>
      </c>
      <c r="B8" s="2" t="s">
        <v>654</v>
      </c>
      <c r="C8" s="4" t="str">
        <f>IFERROR(__xludf.DUMMYFUNCTION("IFERROR(REGEXEXTRACT(B8,""\(([^)]*)\)""),"""")"),"OFFLINE MAY 12")</f>
        <v>OFFLINE MAY 12</v>
      </c>
      <c r="D8" s="4" t="str">
        <f>IFERROR(__xludf.DUMMYFUNCTION("TRIM(REGEXREPLACE(B8,""\s*\(.*?\)"",""""))"),"Camarin ""D"" Health Center")</f>
        <v>Camarin "D" Health Center</v>
      </c>
    </row>
    <row r="9">
      <c r="A9" s="4"/>
      <c r="C9" s="4" t="str">
        <f>IFERROR(__xludf.DUMMYFUNCTION("IFERROR(REGEXEXTRACT(B9,""\(([^)]*)\)""),"""")"),"")</f>
        <v/>
      </c>
      <c r="D9" s="4" t="str">
        <f>IFERROR(__xludf.DUMMYFUNCTION("TRIM(REGEXREPLACE(B9,""\s*\(.*?\)"",""""))"),"")</f>
        <v/>
      </c>
    </row>
    <row r="10">
      <c r="A10" s="2" t="s">
        <v>108</v>
      </c>
      <c r="C10" s="4" t="str">
        <f>IFERROR(__xludf.DUMMYFUNCTION("IFERROR(REGEXEXTRACT(B10,""\(([^)]*)\)""),"""")"),"")</f>
        <v/>
      </c>
      <c r="D10" s="4" t="str">
        <f>IFERROR(__xludf.DUMMYFUNCTION("TRIM(REGEXREPLACE(B10,""\s*\(.*?\)"",""""))"),"")</f>
        <v/>
      </c>
    </row>
    <row r="11">
      <c r="A11" s="2" t="s">
        <v>571</v>
      </c>
      <c r="B11" s="2" t="s">
        <v>572</v>
      </c>
      <c r="C11" s="4" t="str">
        <f>IFERROR(__xludf.DUMMYFUNCTION("IFERROR(REGEXEXTRACT(B11,""\(([^)]*)\)""),"""")"),"")</f>
        <v/>
      </c>
      <c r="D11" s="4" t="str">
        <f>IFERROR(__xludf.DUMMYFUNCTION("TRIM(REGEXREPLACE(B11,""\s*\(.*?\)"",""""))"),"Pulanglupa Dos Health Center")</f>
        <v>Pulanglupa Dos Health Center</v>
      </c>
    </row>
    <row r="12">
      <c r="A12" s="4"/>
      <c r="C12" s="4" t="str">
        <f>IFERROR(__xludf.DUMMYFUNCTION("IFERROR(REGEXEXTRACT(B12,""\(([^)]*)\)""),"""")"),"")</f>
        <v/>
      </c>
      <c r="D12" s="4" t="str">
        <f>IFERROR(__xludf.DUMMYFUNCTION("TRIM(REGEXREPLACE(B12,""\s*\(.*?\)"",""""))"),"")</f>
        <v/>
      </c>
    </row>
    <row r="13">
      <c r="A13" s="2" t="s">
        <v>130</v>
      </c>
      <c r="C13" s="4" t="str">
        <f>IFERROR(__xludf.DUMMYFUNCTION("IFERROR(REGEXEXTRACT(B13,""\(([^)]*)\)""),"""")"),"")</f>
        <v/>
      </c>
      <c r="D13" s="4" t="str">
        <f>IFERROR(__xludf.DUMMYFUNCTION("TRIM(REGEXREPLACE(B13,""\s*\(.*?\)"",""""))"),"")</f>
        <v/>
      </c>
    </row>
    <row r="14">
      <c r="A14" s="2" t="s">
        <v>95</v>
      </c>
      <c r="B14" s="2" t="s">
        <v>624</v>
      </c>
      <c r="C14" s="4" t="str">
        <f>IFERROR(__xludf.DUMMYFUNCTION("IFERROR(REGEXEXTRACT(B14,""\(([^)]*)\)""),"""")"),"")</f>
        <v/>
      </c>
      <c r="D14" s="4" t="str">
        <f>IFERROR(__xludf.DUMMYFUNCTION("TRIM(REGEXREPLACE(B14,""\s*\(.*?\)"",""""))"),"Board of Investments")</f>
        <v>Board of Investments</v>
      </c>
    </row>
    <row r="15">
      <c r="A15" s="2" t="s">
        <v>627</v>
      </c>
      <c r="B15" s="2" t="s">
        <v>657</v>
      </c>
      <c r="C15" s="4" t="str">
        <f>IFERROR(__xludf.DUMMYFUNCTION("IFERROR(REGEXEXTRACT(B15,""\(([^)]*)\)""),"""")"),"OFFLINE MAY 26")</f>
        <v>OFFLINE MAY 26</v>
      </c>
      <c r="D15" s="4" t="str">
        <f>IFERROR(__xludf.DUMMYFUNCTION("TRIM(REGEXREPLACE(B15,""\s*\(.*?\)"",""""))"),"Makati Elementary School")</f>
        <v>Makati Elementary School</v>
      </c>
    </row>
    <row r="16">
      <c r="A16" s="4"/>
      <c r="C16" s="4" t="str">
        <f>IFERROR(__xludf.DUMMYFUNCTION("IFERROR(REGEXEXTRACT(B16,""\(([^)]*)\)""),"""")"),"")</f>
        <v/>
      </c>
      <c r="D16" s="4" t="str">
        <f>IFERROR(__xludf.DUMMYFUNCTION("TRIM(REGEXREPLACE(B16,""\s*\(.*?\)"",""""))"),"")</f>
        <v/>
      </c>
    </row>
    <row r="17">
      <c r="A17" s="2" t="s">
        <v>139</v>
      </c>
      <c r="C17" s="4" t="str">
        <f>IFERROR(__xludf.DUMMYFUNCTION("IFERROR(REGEXEXTRACT(B17,""\(([^)]*)\)""),"""")"),"")</f>
        <v/>
      </c>
      <c r="D17" s="4" t="str">
        <f>IFERROR(__xludf.DUMMYFUNCTION("TRIM(REGEXREPLACE(B17,""\s*\(.*?\)"",""""))"),"")</f>
        <v/>
      </c>
    </row>
    <row r="18">
      <c r="A18" s="2" t="s">
        <v>150</v>
      </c>
      <c r="B18" s="2" t="s">
        <v>658</v>
      </c>
      <c r="C18" s="4" t="str">
        <f>IFERROR(__xludf.DUMMYFUNCTION("IFERROR(REGEXEXTRACT(B18,""\(([^)]*)\)""),"""")"),"DEFECTIVE AP")</f>
        <v>DEFECTIVE AP</v>
      </c>
      <c r="D18" s="4" t="str">
        <f>IFERROR(__xludf.DUMMYFUNCTION("TRIM(REGEXREPLACE(B18,""\s*\(.*?\)"",""""))"),"Tañong Integrated School")</f>
        <v>Tañong Integrated School</v>
      </c>
    </row>
    <row r="19">
      <c r="A19" s="4"/>
      <c r="C19" s="4" t="str">
        <f>IFERROR(__xludf.DUMMYFUNCTION("IFERROR(REGEXEXTRACT(B19,""\(([^)]*)\)""),"""")"),"")</f>
        <v/>
      </c>
      <c r="D19" s="4" t="str">
        <f>IFERROR(__xludf.DUMMYFUNCTION("TRIM(REGEXREPLACE(B19,""\s*\(.*?\)"",""""))"),"")</f>
        <v/>
      </c>
    </row>
    <row r="20">
      <c r="A20" s="2" t="s">
        <v>178</v>
      </c>
      <c r="C20" s="4" t="str">
        <f>IFERROR(__xludf.DUMMYFUNCTION("IFERROR(REGEXEXTRACT(B20,""\(([^)]*)\)""),"""")"),"")</f>
        <v/>
      </c>
      <c r="D20" s="4" t="str">
        <f>IFERROR(__xludf.DUMMYFUNCTION("TRIM(REGEXREPLACE(B20,""\s*\(.*?\)"",""""))"),"")</f>
        <v/>
      </c>
    </row>
    <row r="21">
      <c r="A21" s="2" t="s">
        <v>200</v>
      </c>
      <c r="B21" s="2" t="s">
        <v>659</v>
      </c>
      <c r="C21" s="4" t="str">
        <f>IFERROR(__xludf.DUMMYFUNCTION("IFERROR(REGEXEXTRACT(B21,""\(([^)]*)\)""),"""")"),"SITE INSPECTION")</f>
        <v>SITE INSPECTION</v>
      </c>
      <c r="D21" s="4" t="str">
        <f>IFERROR(__xludf.DUMMYFUNCTION("TRIM(REGEXREPLACE(B21,""\s*\(.*?\)"",""""))"),"M. Earnshaw Health Center")</f>
        <v>M. Earnshaw Health Center</v>
      </c>
    </row>
    <row r="22">
      <c r="A22" s="2" t="s">
        <v>629</v>
      </c>
      <c r="B22" s="2" t="s">
        <v>630</v>
      </c>
      <c r="C22" s="4" t="str">
        <f>IFERROR(__xludf.DUMMYFUNCTION("IFERROR(REGEXEXTRACT(B22,""\(([^)]*)\)""),"""")"),"")</f>
        <v/>
      </c>
      <c r="D22" s="4" t="str">
        <f>IFERROR(__xludf.DUMMYFUNCTION("TRIM(REGEXREPLACE(B22,""\s*\(.*?\)"",""""))"),"Department of Finance")</f>
        <v>Department of Finance</v>
      </c>
    </row>
    <row r="23">
      <c r="A23" s="2" t="s">
        <v>99</v>
      </c>
      <c r="B23" s="2" t="s">
        <v>661</v>
      </c>
      <c r="C23" s="4" t="str">
        <f>IFERROR(__xludf.DUMMYFUNCTION("IFERROR(REGEXEXTRACT(B23,""\(([^)]*)\)""),"""")"),"OFFLINE MAY 22")</f>
        <v>OFFLINE MAY 22</v>
      </c>
      <c r="D23" s="4" t="str">
        <f>IFERROR(__xludf.DUMMYFUNCTION("TRIM(REGEXREPLACE(B23,""\s*\(.*?\)"",""""))"),"Bureau of Customs")</f>
        <v>Bureau of Customs</v>
      </c>
    </row>
    <row r="24">
      <c r="A24" s="2" t="s">
        <v>216</v>
      </c>
      <c r="B24" s="2" t="s">
        <v>662</v>
      </c>
      <c r="C24" s="4" t="str">
        <f>IFERROR(__xludf.DUMMYFUNCTION("IFERROR(REGEXEXTRACT(B24,""\(([^)]*)\)""),"""")"),"DEFECTIVE AP")</f>
        <v>DEFECTIVE AP</v>
      </c>
      <c r="D24" s="4" t="str">
        <f>IFERROR(__xludf.DUMMYFUNCTION("TRIM(REGEXREPLACE(B24,""\s*\(.*?\)"",""""))"),"Pres. Sergio Osmena, Sr. High School")</f>
        <v>Pres. Sergio Osmena, Sr. High School</v>
      </c>
    </row>
    <row r="25">
      <c r="A25" s="2" t="s">
        <v>633</v>
      </c>
      <c r="B25" s="2" t="s">
        <v>663</v>
      </c>
      <c r="C25" s="4" t="str">
        <f>IFERROR(__xludf.DUMMYFUNCTION("IFERROR(REGEXEXTRACT(B25,""\(([^)]*)\)""),"""")"),"OFFLINE MAY 12")</f>
        <v>OFFLINE MAY 12</v>
      </c>
      <c r="D25" s="4" t="str">
        <f>IFERROR(__xludf.DUMMYFUNCTION("TRIM(REGEXREPLACE(B25,""\s*\(.*?\)"",""""))"),"Intramuros Administration")</f>
        <v>Intramuros Administration</v>
      </c>
    </row>
    <row r="26">
      <c r="A26" s="4"/>
      <c r="C26" s="4" t="str">
        <f>IFERROR(__xludf.DUMMYFUNCTION("IFERROR(REGEXEXTRACT(B26,""\(([^)]*)\)""),"""")"),"")</f>
        <v/>
      </c>
      <c r="D26" s="4" t="str">
        <f>IFERROR(__xludf.DUMMYFUNCTION("TRIM(REGEXREPLACE(B26,""\s*\(.*?\)"",""""))"),"")</f>
        <v/>
      </c>
    </row>
    <row r="27">
      <c r="A27" s="2" t="s">
        <v>248</v>
      </c>
      <c r="C27" s="4" t="str">
        <f>IFERROR(__xludf.DUMMYFUNCTION("IFERROR(REGEXEXTRACT(B27,""\(([^)]*)\)""),"""")"),"")</f>
        <v/>
      </c>
      <c r="D27" s="4" t="str">
        <f>IFERROR(__xludf.DUMMYFUNCTION("TRIM(REGEXREPLACE(B27,""\s*\(.*?\)"",""""))"),"")</f>
        <v/>
      </c>
    </row>
    <row r="28">
      <c r="A28" s="2" t="s">
        <v>256</v>
      </c>
      <c r="B28" s="2" t="s">
        <v>257</v>
      </c>
      <c r="C28" s="4" t="str">
        <f>IFERROR(__xludf.DUMMYFUNCTION("IFERROR(REGEXEXTRACT(B28,""\(([^)]*)\)""),"""")"),"")</f>
        <v/>
      </c>
      <c r="D28" s="4" t="str">
        <f>IFERROR(__xludf.DUMMYFUNCTION("TRIM(REGEXREPLACE(B28,""\s*\(.*?\)"",""""))"),"Muntinlupa National High School")</f>
        <v>Muntinlupa National High School</v>
      </c>
    </row>
    <row r="29">
      <c r="A29" s="2" t="s">
        <v>250</v>
      </c>
      <c r="B29" s="2" t="s">
        <v>251</v>
      </c>
      <c r="C29" s="4" t="str">
        <f>IFERROR(__xludf.DUMMYFUNCTION("IFERROR(REGEXEXTRACT(B29,""\(([^)]*)\)""),"""")"),"")</f>
        <v/>
      </c>
      <c r="D29" s="4" t="str">
        <f>IFERROR(__xludf.DUMMYFUNCTION("TRIM(REGEXREPLACE(B29,""\s*\(.*?\)"",""""))"),"Soldiers' Hills Elementary School")</f>
        <v>Soldiers' Hills Elementary School</v>
      </c>
    </row>
    <row r="30">
      <c r="A30" s="4"/>
      <c r="C30" s="4" t="str">
        <f>IFERROR(__xludf.DUMMYFUNCTION("IFERROR(REGEXEXTRACT(B30,""\(([^)]*)\)""),"""")"),"")</f>
        <v/>
      </c>
      <c r="D30" s="4" t="str">
        <f>IFERROR(__xludf.DUMMYFUNCTION("TRIM(REGEXREPLACE(B30,""\s*\(.*?\)"",""""))"),"")</f>
        <v/>
      </c>
    </row>
    <row r="31">
      <c r="A31" s="2" t="s">
        <v>293</v>
      </c>
      <c r="C31" s="4" t="str">
        <f>IFERROR(__xludf.DUMMYFUNCTION("IFERROR(REGEXEXTRACT(B31,""\(([^)]*)\)""),"""")"),"")</f>
        <v/>
      </c>
      <c r="D31" s="4" t="str">
        <f>IFERROR(__xludf.DUMMYFUNCTION("TRIM(REGEXREPLACE(B31,""\s*\(.*?\)"",""""))"),"")</f>
        <v/>
      </c>
    </row>
    <row r="32">
      <c r="A32" s="2" t="s">
        <v>636</v>
      </c>
      <c r="B32" s="2" t="s">
        <v>664</v>
      </c>
      <c r="C32" s="4" t="str">
        <f>IFERROR(__xludf.DUMMYFUNCTION("IFERROR(REGEXEXTRACT(B32,""\(([^)]*)\)""),"""")"),"SCHEDULE FOR SITE RELOCATION")</f>
        <v>SCHEDULE FOR SITE RELOCATION</v>
      </c>
      <c r="D32" s="4" t="str">
        <f>IFERROR(__xludf.DUMMYFUNCTION("TRIM(REGEXREPLACE(B32,""\s*\(.*?\)"",""""))"),"Vitalez Health Center")</f>
        <v>Vitalez Health Center</v>
      </c>
    </row>
    <row r="33">
      <c r="A33" s="2" t="s">
        <v>568</v>
      </c>
      <c r="B33" s="2" t="s">
        <v>665</v>
      </c>
      <c r="C33" s="4" t="str">
        <f>IFERROR(__xludf.DUMMYFUNCTION("IFERROR(REGEXEXTRACT(B33,""\(([^)]*)\)""),"""")"),"")</f>
        <v/>
      </c>
      <c r="D33" s="4" t="str">
        <f>IFERROR(__xludf.DUMMYFUNCTION("TRIM(REGEXREPLACE(B33,""\s*\(.*?\)"",""""))"),"Don Bosco Health Center")</f>
        <v>Don Bosco Health Center</v>
      </c>
    </row>
    <row r="34">
      <c r="A34" s="4"/>
      <c r="C34" s="4" t="str">
        <f>IFERROR(__xludf.DUMMYFUNCTION("IFERROR(REGEXEXTRACT(B34,""\(([^)]*)\)""),"""")"),"")</f>
        <v/>
      </c>
      <c r="D34" s="4" t="str">
        <f>IFERROR(__xludf.DUMMYFUNCTION("TRIM(REGEXREPLACE(B34,""\s*\(.*?\)"",""""))"),"")</f>
        <v/>
      </c>
    </row>
    <row r="35">
      <c r="A35" s="2" t="s">
        <v>307</v>
      </c>
      <c r="C35" s="4" t="str">
        <f>IFERROR(__xludf.DUMMYFUNCTION("IFERROR(REGEXEXTRACT(B35,""\(([^)]*)\)""),"""")"),"")</f>
        <v/>
      </c>
      <c r="D35" s="4" t="str">
        <f>IFERROR(__xludf.DUMMYFUNCTION("TRIM(REGEXREPLACE(B35,""\s*\(.*?\)"",""""))"),"")</f>
        <v/>
      </c>
    </row>
    <row r="36">
      <c r="A36" s="2" t="s">
        <v>638</v>
      </c>
      <c r="B36" s="2" t="s">
        <v>666</v>
      </c>
      <c r="C36" s="4" t="str">
        <f>IFERROR(__xludf.DUMMYFUNCTION("IFERROR(REGEXEXTRACT(B36,""\(([^)]*)\)""),"""")"),"OFFLINE MAY 12")</f>
        <v>OFFLINE MAY 12</v>
      </c>
      <c r="D36" s="4" t="str">
        <f>IFERROR(__xludf.DUMMYFUNCTION("TRIM(REGEXREPLACE(B36,""\s*\(.*?\)"",""""))"),"Philippine National Police Aviation Security Group")</f>
        <v>Philippine National Police Aviation Security Group</v>
      </c>
    </row>
    <row r="37">
      <c r="A37" s="2" t="s">
        <v>318</v>
      </c>
      <c r="B37" s="2" t="s">
        <v>640</v>
      </c>
      <c r="C37" s="4" t="str">
        <f>IFERROR(__xludf.DUMMYFUNCTION("IFERROR(REGEXEXTRACT(B37,""\(([^)]*)\)""),"""")"),"")</f>
        <v/>
      </c>
      <c r="D37" s="4" t="str">
        <f>IFERROR(__xludf.DUMMYFUNCTION("TRIM(REGEXREPLACE(B37,""\s*\(.*?\)"",""""))"),"Overseas Workers Welfare Administration")</f>
        <v>Overseas Workers Welfare Administration</v>
      </c>
    </row>
  </sheetData>
  <conditionalFormatting sqref="B5:B37">
    <cfRule type="expression" dxfId="1" priority="1">
      <formula>$D5&gt;$D$1</formula>
    </cfRule>
  </conditionalFormatting>
  <conditionalFormatting sqref="A5:A37">
    <cfRule type="expression" dxfId="0" priority="2">
      <formula>COUNTIF($A$3:A5, A5) &gt; 1</formula>
    </cfRule>
  </conditionalFormatting>
  <conditionalFormatting sqref="A5:A37">
    <cfRule type="expression" dxfId="0" priority="3">
      <formula>COUNTIF(INDIRECT("DB!C:C"), A5)&gt;0
</formula>
    </cfRule>
  </conditionalFormatting>
  <conditionalFormatting sqref="A72:A74 A102">
    <cfRule type="expression" dxfId="0" priority="4">
      <formula>COUNTIF(#REF!, A72) &gt; 1</formula>
    </cfRule>
  </conditionalFormatting>
  <conditionalFormatting sqref="A71">
    <cfRule type="expression" dxfId="0" priority="5">
      <formula>COUNTIF(#REF!, A71) &gt; 1</formula>
    </cfRule>
  </conditionalFormatting>
  <conditionalFormatting sqref="A70">
    <cfRule type="expression" dxfId="0" priority="6">
      <formula>COUNTIF(#REF!, A70) &gt; 1</formula>
    </cfRule>
  </conditionalFormatting>
  <conditionalFormatting sqref="A69">
    <cfRule type="expression" dxfId="0" priority="7">
      <formula>COUNTIF(#REF!, A69) &gt; 1</formula>
    </cfRule>
  </conditionalFormatting>
  <conditionalFormatting sqref="A67:A68 A89:A90 A101 A157 A162">
    <cfRule type="expression" dxfId="0" priority="8">
      <formula>COUNTIF(#REF!, A67) &gt; 1</formula>
    </cfRule>
  </conditionalFormatting>
  <conditionalFormatting sqref="A66">
    <cfRule type="expression" dxfId="0" priority="9">
      <formula>COUNTIF(#REF!, A66) &gt; 1</formula>
    </cfRule>
  </conditionalFormatting>
  <conditionalFormatting sqref="A63:A65 A83 A145:A146">
    <cfRule type="expression" dxfId="0" priority="10">
      <formula>COUNTIF(#REF!, A63) &gt; 1</formula>
    </cfRule>
  </conditionalFormatting>
  <conditionalFormatting sqref="A61:A62 A148 A161">
    <cfRule type="expression" dxfId="0" priority="11">
      <formula>COUNTIF(#REF!, A61) &gt; 1</formula>
    </cfRule>
  </conditionalFormatting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88"/>
  </cols>
  <sheetData>
    <row r="1">
      <c r="A1" s="2" t="s">
        <v>14</v>
      </c>
    </row>
    <row r="2">
      <c r="A2" s="2" t="s">
        <v>42</v>
      </c>
      <c r="B2" s="2" t="s">
        <v>43</v>
      </c>
      <c r="C2" s="2" t="s">
        <v>660</v>
      </c>
    </row>
    <row r="3">
      <c r="A3" s="2" t="s">
        <v>621</v>
      </c>
      <c r="B3" s="2" t="s">
        <v>622</v>
      </c>
    </row>
    <row r="4">
      <c r="A4" s="2" t="s">
        <v>71</v>
      </c>
      <c r="B4" s="2" t="s">
        <v>623</v>
      </c>
    </row>
    <row r="5">
      <c r="A5" s="2" t="s">
        <v>30</v>
      </c>
      <c r="B5" s="2" t="s">
        <v>31</v>
      </c>
    </row>
    <row r="7">
      <c r="A7" s="2" t="s">
        <v>130</v>
      </c>
    </row>
    <row r="8">
      <c r="A8" s="2" t="s">
        <v>95</v>
      </c>
      <c r="B8" s="2" t="s">
        <v>624</v>
      </c>
    </row>
    <row r="9">
      <c r="A9" s="2" t="s">
        <v>625</v>
      </c>
      <c r="B9" s="2" t="s">
        <v>626</v>
      </c>
    </row>
    <row r="10">
      <c r="A10" s="2" t="s">
        <v>627</v>
      </c>
      <c r="B10" s="2" t="s">
        <v>628</v>
      </c>
    </row>
    <row r="12">
      <c r="A12" s="2" t="s">
        <v>139</v>
      </c>
    </row>
    <row r="13">
      <c r="A13" s="2" t="s">
        <v>150</v>
      </c>
      <c r="B13" s="2" t="s">
        <v>151</v>
      </c>
      <c r="C13" s="2" t="s">
        <v>660</v>
      </c>
    </row>
    <row r="15">
      <c r="A15" s="2" t="s">
        <v>178</v>
      </c>
    </row>
    <row r="16">
      <c r="A16" s="2" t="s">
        <v>200</v>
      </c>
      <c r="B16" s="2" t="s">
        <v>201</v>
      </c>
    </row>
    <row r="17">
      <c r="A17" s="2" t="s">
        <v>629</v>
      </c>
      <c r="B17" s="2" t="s">
        <v>630</v>
      </c>
      <c r="C17" s="2" t="s">
        <v>660</v>
      </c>
    </row>
    <row r="18">
      <c r="A18" s="2" t="s">
        <v>99</v>
      </c>
      <c r="B18" s="2" t="s">
        <v>100</v>
      </c>
    </row>
    <row r="19">
      <c r="A19" s="2" t="s">
        <v>589</v>
      </c>
      <c r="B19" s="2" t="s">
        <v>590</v>
      </c>
    </row>
    <row r="20">
      <c r="A20" s="2" t="s">
        <v>631</v>
      </c>
      <c r="B20" s="2" t="s">
        <v>632</v>
      </c>
    </row>
    <row r="21">
      <c r="A21" s="2" t="s">
        <v>633</v>
      </c>
      <c r="B21" s="2" t="s">
        <v>634</v>
      </c>
    </row>
    <row r="23">
      <c r="A23" s="2" t="s">
        <v>248</v>
      </c>
    </row>
    <row r="24">
      <c r="A24" s="2" t="s">
        <v>256</v>
      </c>
      <c r="B24" s="2" t="s">
        <v>257</v>
      </c>
      <c r="C24" s="2" t="s">
        <v>660</v>
      </c>
    </row>
    <row r="25">
      <c r="A25" s="2" t="s">
        <v>250</v>
      </c>
      <c r="B25" s="2" t="s">
        <v>635</v>
      </c>
      <c r="C25" s="2" t="s">
        <v>660</v>
      </c>
    </row>
    <row r="27">
      <c r="A27" s="2" t="s">
        <v>266</v>
      </c>
    </row>
    <row r="28">
      <c r="A28" s="2" t="s">
        <v>577</v>
      </c>
      <c r="B28" s="2" t="s">
        <v>578</v>
      </c>
    </row>
    <row r="30">
      <c r="A30" s="2" t="s">
        <v>293</v>
      </c>
    </row>
    <row r="31">
      <c r="A31" s="2" t="s">
        <v>636</v>
      </c>
      <c r="B31" s="2" t="s">
        <v>637</v>
      </c>
      <c r="C31" s="2" t="s">
        <v>672</v>
      </c>
    </row>
    <row r="33">
      <c r="A33" s="2" t="s">
        <v>307</v>
      </c>
    </row>
    <row r="34">
      <c r="A34" s="2" t="s">
        <v>638</v>
      </c>
      <c r="B34" s="2" t="s">
        <v>639</v>
      </c>
    </row>
    <row r="35">
      <c r="A35" s="2" t="s">
        <v>318</v>
      </c>
      <c r="B35" s="2" t="s">
        <v>640</v>
      </c>
      <c r="C35" s="2" t="s">
        <v>660</v>
      </c>
    </row>
    <row r="37">
      <c r="A37" s="2" t="s">
        <v>346</v>
      </c>
    </row>
    <row r="38">
      <c r="A38" s="2" t="s">
        <v>361</v>
      </c>
      <c r="B38" s="2" t="s">
        <v>362</v>
      </c>
    </row>
    <row r="39">
      <c r="A39" s="2" t="s">
        <v>641</v>
      </c>
      <c r="B39" s="2" t="s">
        <v>642</v>
      </c>
      <c r="C39" s="2" t="s">
        <v>673</v>
      </c>
    </row>
    <row r="40">
      <c r="A40" s="2" t="s">
        <v>583</v>
      </c>
      <c r="B40" s="2" t="s">
        <v>643</v>
      </c>
    </row>
    <row r="41">
      <c r="A41" s="2" t="s">
        <v>377</v>
      </c>
      <c r="B41" s="2" t="s">
        <v>378</v>
      </c>
    </row>
    <row r="42">
      <c r="A42" s="2" t="s">
        <v>586</v>
      </c>
      <c r="B42" s="2" t="s">
        <v>644</v>
      </c>
    </row>
    <row r="43">
      <c r="A43" s="2" t="s">
        <v>645</v>
      </c>
      <c r="B43" s="2" t="s">
        <v>646</v>
      </c>
    </row>
    <row r="45">
      <c r="A45" s="2" t="s">
        <v>454</v>
      </c>
    </row>
    <row r="46">
      <c r="A46" s="2" t="s">
        <v>574</v>
      </c>
      <c r="B46" s="2" t="s">
        <v>575</v>
      </c>
    </row>
    <row r="47">
      <c r="A47" s="2" t="s">
        <v>452</v>
      </c>
      <c r="B47" s="2" t="s">
        <v>453</v>
      </c>
    </row>
    <row r="48">
      <c r="A48" s="2" t="s">
        <v>465</v>
      </c>
      <c r="B48" s="2" t="s">
        <v>466</v>
      </c>
    </row>
  </sheetData>
  <drawing r:id="rId1"/>
</worksheet>
</file>